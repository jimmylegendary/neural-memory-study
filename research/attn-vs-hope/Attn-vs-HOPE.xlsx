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name="CMS_E1">'시트1'!$D$7</definedName>
    <definedName name="MEM_CHUNKS">'시트1'!$O$3</definedName>
    <definedName name="head_dim">'시트1'!$H$5</definedName>
    <definedName name="KV_SPLIT">'시트1'!$F$5</definedName>
    <definedName name="ELEM_BYTES">'시트1'!$B$5</definedName>
    <definedName name="GIGA">'시트1'!$K$1</definedName>
    <definedName name="nMutable">'시트1'!$D$6</definedName>
    <definedName name="CMS_C2">'시트1'!$K$6</definedName>
    <definedName name="CMS_C3">'시트1'!$B$7</definedName>
    <definedName name="CONV_WIN">'시트1'!$K$7</definedName>
    <definedName name="FLOPS">'시트1'!$K$3</definedName>
    <definedName name="CMS_E3">'시트1'!$O$2</definedName>
    <definedName name="nCMS_Lev">'시트1'!$H$2</definedName>
    <definedName name="OSL">'시트1'!$B$4</definedName>
    <definedName name="bit">'시트1'!$F$4</definedName>
    <definedName name="C_mem">'시트1'!$F$6</definedName>
    <definedName name="ED">'시트1'!$D$3</definedName>
    <definedName name="HOPE_CHUNKS">'시트1'!$M$3</definedName>
    <definedName name="MEM_HIDDEN">'시트1'!$M$2</definedName>
    <definedName name="ISL">'시트1'!$B$3</definedName>
    <definedName name="topK">'시트1'!$F$3</definedName>
    <definedName name="D">'시트1'!$D$2</definedName>
    <definedName name="CMS_E2">'시트1'!$F$7</definedName>
    <definedName name="B">'시트1'!$B$2</definedName>
    <definedName name="nE">'시트1'!$F$2</definedName>
    <definedName name="ChunkP">'시트1'!$F$1</definedName>
    <definedName name="PARTIAL_BYTES">'시트1'!$K$5</definedName>
    <definedName name="LRD">'시트1'!$D$4</definedName>
    <definedName name="Chunk">'시트1'!$H$1</definedName>
    <definedName name="TERA">'시트1'!$M$1</definedName>
    <definedName name="HBM_BW">'시트1'!$K$2</definedName>
    <definedName name="FA_KV_HBM_MULT">'시트1'!$D$5</definedName>
    <definedName name="PETA">'시트1'!$O$1</definedName>
    <definedName name="nAux">'시트1'!$B$6</definedName>
    <definedName name="CMS_1_r">'시트1'!$H$3</definedName>
    <definedName name="CMS_n_r">'시트1'!$H$4</definedName>
    <definedName name="DECODE_SPLITS">'시트1'!$H$7</definedName>
    <definedName name="CMS_C1">'시트1'!$H$6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두 번째 low-rank GEMM과 level residual을 fuse한다.</t>
      </text>
    </comment>
    <comment authorId="0" ref="C34">
      <text>
        <t xml:space="preserve">Loss·backward dependency 없이 연속 실행되는 한-chunk inference forward latency다.</t>
      </text>
    </comment>
    <comment authorId="0" ref="H1">
      <text>
        <t xml:space="preserve">Self-modifying Titans auxiliary memory의 prefill chunk 크기. 현재 2048은 분석 시나리오 값이며, 논문은 main memory와 기타 memory에 서로 다른 chunk를 사용할 수 있다고만 명시한다.</t>
      </text>
    </comment>
    <comment authorId="0" ref="C59">
      <text>
        <t xml:space="preserve">현재 context ISL에서 다음 token 1개를 생성하는 Full-Attention+MoE one-block ITL이다.</t>
      </text>
    </comment>
    <comment authorId="0" ref="C26">
      <text>
        <t xml:space="preserve">두 번째 low-rank GEMM과 level residual을 같은 kernel에 묶는다.</t>
      </text>
    </comment>
    <comment authorId="0" ref="K1">
      <text>
        <t xml:space="preserve">10^9 단위 변환 상수.</t>
      </text>
    </comment>
    <comment authorId="0" ref="M1">
      <text>
        <t xml:space="preserve">10^12 단위 변환 상수.</t>
      </text>
    </comment>
    <comment authorId="0" ref="O1">
      <text>
        <t xml:space="preserve">10^15 단위 변환 상수.</t>
      </text>
    </comment>
    <comment authorId="0" ref="C84">
      <text>
        <t xml:space="preserve">C=1 correction은 rank-1이다. (W2k)kᵀ를 optimizer와 fuse해 별도 correction HBM buffer 없이 updated W2만 기록한다.</t>
      </text>
    </comment>
    <comment authorId="0" ref="C51">
      <text>
        <t xml:space="preserve">다음 token 1개에 대한 QKV projection이다. Weight는 batch에서 공유하고 새 K,V는 KV cache에 append한다.</t>
      </text>
    </comment>
    <comment authorId="0" ref="C18">
      <text>
        <t xml:space="preserve">Full-Attention+MoE 한 block의 전체 ISL prefill TTFT analytical lower-bound다. 각 kernel roofline latency를 순차 합산한다.</t>
      </text>
    </comment>
    <comment authorId="0" ref="C76">
      <text>
        <t xml:space="preserve">Direct forward 이후 한 token의 self-modifying loss를 위해 auxiliary memory를 평가한다.</t>
      </text>
    </comment>
    <comment authorId="0" ref="C43">
      <text>
        <t xml:space="preserve">(W2K)Kᵀ의 rank≤Chunk 구조를 사용한다. Raw dW2와 current W2를 같은 kernel에서 합쳐 correction tensor를 HBM에 쓰지 않고 updated W2만 기록한다.</t>
      </text>
    </comment>
    <comment authorId="0" ref="C10">
      <text>
        <t xml:space="preserve">최적화된 단일 커널 launch 가정이다. RMSNorm은 QKV GEMM의 prologue에, RoPE와 최종 Q/K layout은 epilogue에 fuse한다. FMA는 2 FLOP으로 계산하고 norm scale read를 포함하며, 정규화 입력의 별도 HBM write는 발생하지 않는다.</t>
      </text>
    </comment>
    <comment authorId="0" ref="C68">
      <text>
        <t xml:space="preserve">다음 token batch에 대해 CMS level 2 router를 한 번 실행한다.</t>
      </text>
    </comment>
    <comment authorId="0" ref="B2">
      <text>
        <t xml:space="preserve">동시에 처리하는 독립 sequence/session 수.</t>
      </text>
    </comment>
    <comment authorId="0" ref="C35">
      <text>
        <t xml:space="preserve">Direct forward가 끝난 뒤 self-modifying loss를 위한 네 auxiliary memory를 한 update chunk에서 평가한다. State는 chunk당 한 번 읽는다.</t>
      </text>
    </comment>
    <comment authorId="0" ref="D2">
      <text>
        <t xml:space="preserve">Transformer 및 HOPE block의 model hidden dimension.</t>
      </text>
    </comment>
    <comment authorId="0" ref="F2">
      <text>
        <t xml:space="preserve">Full-Attention MoE의 전체 expert 수이자 CMS L1 capacity 계산의 기준 수.</t>
      </text>
    </comment>
    <comment authorId="0" ref="H2">
      <text>
        <t xml:space="preserve">CMS level 수. 현재 3은 Sleep Figure 7의 High/Mid/Low 구성에 맞춘다.</t>
      </text>
    </comment>
    <comment authorId="0" ref="B60">
      <text>
        <t xml:space="preserve">Decode forward는 Wq→M_memory(q)→CMS를 연속 실행한다. 그 다음 Titans loss/backward/update를 별도 dependency group으로 계산하며 CMS online backward/update는 제외한다.</t>
      </text>
    </comment>
    <comment authorId="0" ref="C27">
      <text>
        <t xml:space="preserve">CMS level 1 output을 받아 level 2 router를 실행한다. 모든 활성 level은 forward dependency chain에 있다.</t>
      </text>
    </comment>
    <comment authorId="0" ref="K2">
      <text>
        <t xml:space="preserve">분석 대상 GPU의 총 HBM bandwidth(byte/s).</t>
      </text>
    </comment>
    <comment authorId="0" ref="M2">
      <text>
        <t xml:space="preserve">Self-modifying main/aux memory의 2-layer MLP hidden 폭. 원문은 수치를 공개하지 않아 D와 같게 둔 분석 가정이며 LRD와 분리한다.</t>
      </text>
    </comment>
    <comment authorId="0" ref="O2">
      <text>
        <t xml:space="preserve">CMS L3에 미리 확보한 low-rank expert slot 최대 용량. CMS_E2×CMS_n_r로 계산하는 사용자 capacity 가정이다.</t>
      </text>
    </comment>
    <comment authorId="0" ref="C85">
      <text>
        <t xml:space="preserve">W1 state와 dW1을 읽어 updated W1만 기록한다.</t>
      </text>
    </comment>
    <comment authorId="0" ref="B19">
      <text>
        <t xml:space="preserve">Prefill operation 행은 chunk count를 포함하지 않은 공통 chunk 1회 기준이다. 이 시트는 C_mem=Chunk를 제약으로 두며, chunk count는 TTFT 집계 행에서만 곱한다.</t>
      </text>
    </comment>
    <comment authorId="0" ref="C52">
      <text>
        <t xml:space="preserve">QK score/probability는 register/SMEM에만 존재한다. 기존 KV cache는 HBM의 persistent state이므로 다음 token 1개가 현재 context ISL의 K,V를 한 번 선형 scan한다. 각 split은 서로 다른 KV 구간을 읽으므로 S² traffic은 없다.</t>
      </text>
    </comment>
    <comment authorId="0" ref="C77">
      <text>
        <t xml:space="preserve">k,v,η,α를 만들고 k를 정규화한다.</t>
      </text>
    </comment>
    <comment authorId="0" ref="C44">
      <text>
        <t xml:space="preserve">W1 state와 dW1을 읽어 updated W1만 기록한다. Momentum slot은 제외한 lower-bound다.</t>
      </text>
    </comment>
    <comment authorId="0" ref="C11">
      <text>
        <t xml:space="preserve">QKᵀ score와 softmax probability는 register/SMEM tile 안에서만 존재하며 HBM에 기록하지 않는다. E11의 B×ISL×(ISL+1)/2는 causal q·k 논리 interaction 수이지 score tensor의 HBM read/write가 아니다. Read bytes는 Q/K/V physical-HBM compulsory lower bound이며, FA_KV_HBM_MULT=1은 K/V 1회 read 가정이다. 실제 CTA별 K/V 재요청 중 L2 miss만 DRAM read가 되므로 Nsight의 dram__bytes_read로 이 배수를 보정해야 한다. Final attention output만 한 번 기록하고 softmax/SFU 시간은 peak tensor-FLOPS roofline에서 제외한다.</t>
      </text>
    </comment>
    <comment authorId="0" ref="C69">
      <text>
        <t xml:space="preserve">각 session에서 선택된 topK low-rank expert만 읽는다. LRD는 CMS에만 사용한다.</t>
      </text>
    </comment>
    <comment authorId="0" ref="B3">
      <text>
        <t xml:space="preserve">Prefill 입력 sequence length.</t>
      </text>
    </comment>
    <comment authorId="0" ref="C36">
      <text>
        <t xml:space="preserve">k,v,η,α를 생성하고 k를 정규화한다. 이 결과는 출력 y가 아니라 inner loss/update에 사용한다.</t>
      </text>
    </comment>
    <comment authorId="0" ref="D3">
      <text>
        <t xml:space="preserve">Full-Attention MoE expert의 intermediate dimension.</t>
      </text>
    </comment>
    <comment authorId="0" ref="F3">
      <text>
        <t xml:space="preserve">Token당 선택되는 expert 수. Sleep 원문은 작은 집합만 명시하고 정확한 topK는 공개하지 않았다.</t>
      </text>
    </comment>
    <comment authorId="0" ref="H3">
      <text>
        <t xml:space="preserve">CMS L1 최대 expert 용량을 기준 expert 수 nE에서 정하는 초기 비율. 사용자 분석 가정이다.</t>
      </text>
    </comment>
    <comment authorId="0" ref="C61">
      <text>
        <t xml:space="preserve">다음 token 1개에 대해 q=xWq를 계산한다. OSL을 곱하지 않는다.</t>
      </text>
    </comment>
    <comment authorId="0" ref="C28">
      <text>
        <t xml:space="preserve">Level 2에서 한 chunk가 실제 선택한 예상 unique expert weight만 읽는다.</t>
      </text>
    </comment>
    <comment authorId="0" ref="K3">
      <text>
        <t xml:space="preserve">분석 대상 GPU의 peak tensor FLOPs/s. Softmax/SFU 같은 비-matmul 처리량은 별도 모델링하지 않는다.</t>
      </text>
    </comment>
    <comment authorId="0" ref="M3">
      <text>
        <t xml:space="preserve">CEILING(ISL/Chunk)로 계산한 auxiliary-memory prefill chunk 수.</t>
      </text>
    </comment>
    <comment authorId="0" ref="O3">
      <text>
        <t xml:space="preserve">CEILING(ISL/C_mem)로 계산한 main-memory prefill chunk 수.</t>
      </text>
    </comment>
    <comment authorId="0" ref="C86">
      <text>
        <t xml:space="preserve">한 token의 Titans backward와 state RMW latency다. CMS backward/update는 없다.</t>
      </text>
    </comment>
    <comment authorId="0" ref="C53">
      <text>
        <t xml:space="preserve">Split kernel 사이에서만 FP32 partial O와 head별 LSE를 HBM buffer로 전달한다. Non-split single-kernel이면 이 행을 제거할 수 있다.</t>
      </text>
    </comment>
    <comment authorId="0" ref="C20">
      <text>
        <t xml:space="preserve">한 main-memory chunk(C_mem token)를 병렬 처리한다. q=xWq가 direct forward의 시작이며 state update나 loss에 의존하지 않는다.</t>
      </text>
    </comment>
    <comment authorId="0" ref="C78">
      <text>
        <t xml:space="preserve">nMutable=5 state의 prediction/target branch를 한 token에 대해 계산한다.</t>
      </text>
    </comment>
    <comment authorId="0" ref="C45">
      <text>
        <t xml:space="preserve">한 update chunk의 Titans backward와 state RMW latency다. CMS backward/update는 포함하지 않는다.</t>
      </text>
    </comment>
    <comment authorId="0" ref="C12">
      <text>
        <t xml:space="preserve">Attention output projection이다. 정적 weight는 batch 전체에서 공유된다.</t>
      </text>
    </comment>
    <comment authorId="0" ref="C70">
      <text>
        <t xml:space="preserve">두 번째 low-rank GEMM과 level residual을 fuse한다.</t>
      </text>
    </comment>
    <comment authorId="0" ref="B4">
      <text>
        <t xml:space="preserve">전체 생성 길이 reporting용 parameter. Decode operation과 ITL은 다음 token 1개 기준이므로 OSL을 곱하지 않는다.</t>
      </text>
    </comment>
    <comment authorId="0" ref="C37">
      <text>
        <t xml:space="preserve">Main 1개와 auxiliary 4개, 총 nMutable=5 state를 prediction/target 두 branch에 적용한다. q는 계속 고정 Wq가 만든다.</t>
      </text>
    </comment>
    <comment authorId="0" ref="D4">
      <text>
        <t xml:space="preserve">Sleep식 CMS low-rank expert의 bottleneck dimension. A:D×LRD, B:LRD×D이며 self-modifying Titans memory에는 사용하지 않는다.</t>
      </text>
    </comment>
    <comment authorId="0" ref="F4">
      <text>
        <t xml:space="preserve">Activation/weight 분석 정밀도의 bit 수.</t>
      </text>
    </comment>
    <comment authorId="0" ref="H4">
      <text>
        <t xml:space="preserve">인접 CMS level의 최대 expert 용량 증가 배율. 논문 공개값이 아닌 사용자 capacity 가정이다.</t>
      </text>
    </comment>
    <comment authorId="0" ref="C62">
      <text>
        <t xml:space="preserve">각 session의 현재 main memory state를 한 번 읽어 다음 token을 처리한다.</t>
      </text>
    </comment>
    <comment authorId="0" ref="C29">
      <text>
        <t xml:space="preserve">Level 2 expert B와 residual을 fuse한다.</t>
      </text>
    </comment>
    <comment authorId="0" ref="C87">
      <text>
        <t xml:space="preserve">다음 token output을 얻는 Titans+CMS forward-only ITL이다.</t>
      </text>
    </comment>
    <comment authorId="0" ref="C54">
      <text>
        <t xml:space="preserve">FlashDecode final O를 읽어 output projection을 수행한다.</t>
      </text>
    </comment>
    <comment authorId="0" ref="C21">
      <text>
        <t xml:space="preserve">Main memory state는 이 chunk에서 한 번만 읽는다. MEM_CHUNKS는 operation 식에 곱하지 않고 최종 TTFT에서만 반영한다.</t>
      </text>
    </comment>
    <comment authorId="0" ref="C79">
      <text>
        <t xml:space="preserve">Prediction과 stop-gradient target을 만든다.</t>
      </text>
    </comment>
    <comment authorId="0" ref="C46">
      <text>
        <t xml:space="preserve">Forward operation은 한 C_mem chunk 기준이며, 전체 ISL forward TTFT에서만 MEM_CHUNKS를 곱한다.</t>
      </text>
    </comment>
    <comment authorId="0" ref="C13">
      <text>
        <t xml:space="preserve">후속 MoE residual 결합에 사용할 h=x+Attn(x)와 routing/expert 입력 z=RMSNorm(h)를 모두 write한다.</t>
      </text>
    </comment>
    <comment authorId="0" ref="C71">
      <text>
        <t xml:space="preserve">다음 token batch에 대해 CMS level 3 router를 한 번 실행한다.</t>
      </text>
    </comment>
    <comment authorId="0" ref="B5">
      <text>
        <t xml:space="preserve">bit/8로 계산한 element당 byte 수. 현재 activation, weight, gradient, update state에 같은 폭을 적용하는 8-bit analytical lower-bound이며, mixed-precision 구현은 별도 gradient/optimizer byte 폭으로 보정해야 한다.</t>
      </text>
    </comment>
    <comment authorId="0" ref="C38">
      <text>
        <t xml:space="preserve">Prediction과 stop-gradient target을 만든다. 동일 state weight를 두 branch가 재사용하는 lower-bound다.</t>
      </text>
    </comment>
    <comment authorId="0" ref="D5">
      <text>
        <t xml:space="preserve">Prefill KV의 1회 필수 read 대비 실제 physical-HBM read 배수. 1은 compulsory lower bound이며 Nsight의 DRAM byte로 보정해야 한다.</t>
      </text>
    </comment>
    <comment authorId="0" ref="F5">
      <text>
        <t xml:space="preserve">FlashDecode에서 KV-cache를 병렬 split하는 token chunk 크기.</t>
      </text>
    </comment>
    <comment authorId="0" ref="H5">
      <text>
        <t xml:space="preserve">Attention head dimension. 현재 MHA baseline에서 query/KV 전체 폭은 모두 D다.</t>
      </text>
    </comment>
    <comment authorId="0" ref="C63">
      <text>
        <t xml:space="preserve">두 번째 MLP와 residual로 o=M_memory(q)를 만든다.</t>
      </text>
    </comment>
    <comment authorId="0" ref="C30">
      <text>
        <t xml:space="preserve">CMS level 2 output을 받아 level 3 router를 실행한다.</t>
      </text>
    </comment>
    <comment authorId="0" ref="K5">
      <text>
        <t xml:space="preserve">FlashDecode split partial output과 log-sum-exp 저장 byte 수. 공식 구현의 FP32 accumulator이므로 4 byte.</t>
      </text>
    </comment>
    <comment authorId="0" ref="C88">
      <text>
        <t xml:space="preserve">다음 token 이후 동기식 self-modifying loss와 backward/update를 수행할 때의 추가 latency다.</t>
      </text>
    </comment>
    <comment authorId="0" ref="C55">
      <text>
        <t xml:space="preserve">MoE residual용 h와 normalized router/expert input을 만든다.</t>
      </text>
    </comment>
    <comment authorId="0" ref="C22">
      <text>
        <t xml:space="preserve">두 번째 memory MLP와 residual로 o=M_memory(q)를 만든다. 여기까지가 Self-Referential Titans의 direct output path다.</t>
      </text>
    </comment>
    <comment authorId="0" ref="C80">
      <text>
        <t xml:space="preserve">One-token inner objective residual과 backward seed를 만든다.</t>
      </text>
    </comment>
    <comment authorId="0" ref="C47">
      <text>
        <t xml:space="preserve">C_mem=Chunk 제약에 따라 MEM_CHUNKS=HOPE_CHUNKS인 single-cadence 모델이다. Titans loss와 backward/update만 집계하며 CMS online consolidation은 포함하지 않는다. Main/aux cadence를 분리하려면 두 branch를 별도 집계해야 한다.</t>
      </text>
    </comment>
    <comment authorId="0" ref="C14">
      <text>
        <t xml:space="preserve">Router와 TopK를 fuse해 전체 N×E logit의 HBM 왕복을 제거한다. 출력은 routing probability와 int32 expert id다.</t>
      </text>
    </comment>
    <comment authorId="0" ref="C72">
      <text>
        <t xml:space="preserve">각 session에서 선택된 topK low-rank expert만 읽는다. LRD는 CMS에만 사용한다.</t>
      </text>
    </comment>
    <comment authorId="0" ref="B6">
      <text>
        <t xml:space="preserve">Self-modifying auxiliary memory 수: M_k, M_v, M_η, M_α 네 개. q는 별도 M_q가 아니라 고정 W_q로 생성하며, 원문의 M_q 표기는 오기로 해석한다.</t>
      </text>
    </comment>
    <comment authorId="0" ref="C39">
      <text>
        <t xml:space="preserve">‖M□(k)-M□(v)‖² residual과 prediction branch backward seed를 만든다. Target stop-gradient는 구현 lower-bound 가정이다.</t>
      </text>
    </comment>
    <comment authorId="0" ref="D6">
      <text>
        <t xml:space="preserve">Inner loss로 갱신하는 mutable memory 수: auxiliary 4개와 M_memory 1개로 총 5개다. W_q는 고정 projection이며 mutable memory에 포함하지 않는다.</t>
      </text>
    </comment>
    <comment authorId="0" ref="F6">
      <text>
        <t xml:space="preserve">본 시트의 single-cadence HOPE 분석 제약이다. C_mem은 =Chunk로 연결되어 main memory와 auxiliary memory가 같은 chunk 크기·update cadence를 사용한다. 둘을 독립 조정하려면 loss/backward/update를 main branch와 auxiliary branch로 분리해 각각 MEM_CHUNKS와 HOPE_CHUNKS로 집계해야 한다.</t>
      </text>
    </comment>
    <comment authorId="0" ref="H6">
      <text>
        <t xml:space="preserve">CMS L1 parameter update interval. 단위 token/update이며 Sleep Figure 7의 High window 1K를 사용한다.</t>
      </text>
    </comment>
    <comment authorId="0" ref="C64">
      <text>
        <t xml:space="preserve">q=xWq→M_memory(q)의 one-token direct forward latency다.</t>
      </text>
    </comment>
    <comment authorId="0" ref="C31">
      <text>
        <t xml:space="preserve">Level 3에서 한 chunk가 실제 선택한 예상 unique expert weight만 읽는다.</t>
      </text>
    </comment>
    <comment authorId="0" ref="K6">
      <text>
        <t xml:space="preserve">CMS L2 parameter update interval. 단위 token/update이며 Sleep Figure 7의 Mid window 5K를 사용한다.</t>
      </text>
    </comment>
    <comment authorId="0" ref="C89">
      <text>
        <t xml:space="preserve">Forward와 synchronous Titans online update를 모두 포함한 one-token block latency다. 순수 inference ITL은 row87을 사용한다.</t>
      </text>
    </comment>
    <comment authorId="0" ref="C56">
      <text>
        <t xml:space="preserve">다음 token batch의 router와 TopK를 한 번 실행한다. OSL 누계가 아니다.</t>
      </text>
    </comment>
    <comment authorId="0" ref="C23">
      <text>
        <t xml:space="preserve">Loss·backward와 독립적으로 실행 가능한 q=xWq→M_memory(q)의 한-chunk latency다.</t>
      </text>
    </comment>
    <comment authorId="0" ref="C81">
      <text>
        <t xml:space="preserve">다음 token 1개의 Titans loss 계산 latency다.</t>
      </text>
    </comment>
    <comment authorId="0" ref="C48">
      <text>
        <t xml:space="preserve">Synchronous online update를 포함한 HOPE 한 block의 전체 prompt TTFT다. Forward-only TTFT는 row46을 사용한다.</t>
      </text>
    </comment>
    <comment authorId="0" ref="C15">
      <text>
        <t xml:space="preserve">Expert-major dispatch buffer를 실제로 materialize하는 단계다. Indirect-addressing fused MoE kernel을 쓰면 이 행의 traffic을 0으로 둘 수 있다.</t>
      </text>
    </comment>
    <comment authorId="0" ref="C73">
      <text>
        <t xml:space="preserve">두 번째 low-rank GEMM과 level residual을 fuse한다.</t>
      </text>
    </comment>
    <comment authorId="0" ref="B7">
      <text>
        <t xml:space="preserve">CMS L3 parameter update interval. 단위 token/update이며 Sleep Figure 7의 Low window 10K를 사용한다.</t>
      </text>
    </comment>
    <comment authorId="0" ref="C40">
      <text>
        <t xml:space="preserve">Auxiliary generation과 inner objective 계산까지의 한-update-chunk latency다.</t>
      </text>
    </comment>
    <comment authorId="0" ref="D7">
      <text>
        <t xml:space="preserve">ROUND(nE×CMS_1_r)로 계산한 CMS L1 low-rank expert slot 최대 용량. 현재 64.</t>
      </text>
    </comment>
    <comment authorId="0" ref="F7">
      <text>
        <t xml:space="preserve">ROUND(CMS_E1×CMS_n_r)로 계산한 CMS L2 low-rank expert slot 최대 용량. 현재 128.</t>
      </text>
    </comment>
    <comment authorId="0" ref="H7">
      <text>
        <t xml:space="preserve">다음 token 1개를 위한 FlashDecode KV-cache split 수. CEILING(ISL/KV_SPLIT)이며 OSL 평균을 사용하지 않는다.</t>
      </text>
    </comment>
    <comment authorId="0" ref="C65">
      <text>
        <t xml:space="preserve">다음 token batch에 대해 CMS level 1 router를 한 번 실행한다.</t>
      </text>
    </comment>
    <comment authorId="0" ref="C32">
      <text>
        <t xml:space="preserve">Level 3 expert B와 residual로 CMS forward를 마친다. Online CMS backward/update는 이 표에서 제외한다.</t>
      </text>
    </comment>
    <comment authorId="0" ref="K7">
      <text>
        <t xml:space="preserve">HOPE 논문 실험에서 명시한 local convolution window 크기 4.</t>
      </text>
    </comment>
    <comment authorId="0" ref="C57">
      <text>
        <t xml:space="preserve">한 decode step에서 batch가 활성화할 것으로 예상되는 unique expert weight만 읽는다.</t>
      </text>
    </comment>
    <comment authorId="0" ref="C24">
      <text>
        <t xml:space="preserve">Titans output o를 받아 CMS level 1을 forward한다. Dense D→CMS_E1 router는 구현 미공개에 따른 분석 가정이다.</t>
      </text>
    </comment>
    <comment authorId="0" ref="A49">
      <text>
        <t xml:space="preserve">모든 decode operation은 OSL 누계가 아니라 현재 context(ISL)에서 다음 token 1개를 만드는 기준이다.</t>
      </text>
    </comment>
    <comment authorId="0" ref="C82">
      <text>
        <t xml:space="preserve">One-token prediction branch의 output-layer gradient와 hidden gradient를 계산한다.</t>
      </text>
    </comment>
    <comment authorId="0" ref="C16">
      <text>
        <t xml:space="preserve">Prefill에서는 사실상 모든 expert가 활성화된다고 가정한다. Gate/Up weight를 읽고 SiLU×Up을 epilogue에 fuse하여 2×ED가 아니라 ED만 write한다.</t>
      </text>
    </comment>
    <comment authorId="0" ref="C74">
      <text>
        <t xml:space="preserve">CMS의 모든 활성 level을 통과하는 one-token forward latency다. CMS online update는 포함하지 않는다.</t>
      </text>
    </comment>
    <comment authorId="0" ref="C41">
      <text>
        <t xml:space="preserve">Prediction branch의 output-layer gradient와 hidden gradient를 한 update chunk에서 계산한다.</t>
      </text>
    </comment>
    <comment authorId="0" ref="C66">
      <text>
        <t xml:space="preserve">각 session에서 선택된 topK low-rank expert만 읽는다. LRD는 CMS에만 사용한다.</t>
      </text>
    </comment>
    <comment authorId="0" ref="C33">
      <text>
        <t xml:space="preserve">Titans output 이후 CMS 3개 level의 한-chunk 순차 forward latency다. CMS online consolidation 비용은 포함하지 않는다.</t>
      </text>
    </comment>
    <comment authorId="0" ref="C58">
      <text>
        <t xml:space="preserve">Down projection, route weighting, unpermute와 residual을 한 decode-step kernel에 묶는다.</t>
      </text>
    </comment>
    <comment authorId="0" ref="C25">
      <text>
        <t xml:space="preserve">한 chunk 안에서 선택된 예상 unique low-rank expert weight를 한 번씩 읽는 lower-bound다. CMS forward는 update interval로 나누지 않는다.</t>
      </text>
    </comment>
    <comment authorId="0" ref="B50">
      <text>
        <t xml:space="preserve">FlashDecode 기반 Full-Attention+MoE의 one-token ITL 모델이다. OSL은 모든 operation 식에서 제외한다.</t>
      </text>
    </comment>
    <comment authorId="0" ref="C83">
      <text>
        <t xml:space="preserve">One-token input-layer raw gradient를 계산한다.</t>
      </text>
    </comment>
    <comment authorId="0" ref="C17">
      <text>
        <t xml:space="preserve">topK=1이므로 down projection, route weighting, unpermute를 한 launch로 묶는다. 보존한 post-attention residual h를 읽어 MoE 출력에 더한다.</t>
      </text>
    </comment>
    <comment authorId="0" ref="C75">
      <text>
        <t xml:space="preserve">Loss·backward와 독립적으로 다음 token output을 만드는 inference forward ITL이다.</t>
      </text>
    </comment>
    <comment authorId="0" ref="C42">
      <text>
        <t xml:space="preserve">Layer-1 raw gradient를 계산한다. Memory input gradient는 다음 model block으로 전파하지 않는다.</t>
      </text>
    </comment>
  </commentList>
</comments>
</file>

<file path=xl/sharedStrings.xml><?xml version="1.0" encoding="utf-8"?>
<sst xmlns="http://schemas.openxmlformats.org/spreadsheetml/2006/main" count="295" uniqueCount="160">
  <si>
    <t>Parameters</t>
  </si>
  <si>
    <t>Decode Chunk</t>
  </si>
  <si>
    <t>Giga</t>
  </si>
  <si>
    <t>Tera</t>
  </si>
  <si>
    <t>Peta</t>
  </si>
  <si>
    <t>Batch</t>
  </si>
  <si>
    <t>Dimension</t>
  </si>
  <si>
    <t># of Expert</t>
  </si>
  <si>
    <t># of CMS levels</t>
  </si>
  <si>
    <t>HBM BW</t>
  </si>
  <si>
    <t>Memory MLP dim</t>
  </si>
  <si>
    <t>CMS E3</t>
  </si>
  <si>
    <t>ISL</t>
  </si>
  <si>
    <t>Expert Dim</t>
  </si>
  <si>
    <t>TopK</t>
  </si>
  <si>
    <t>CMS_1 # of expert ratio</t>
  </si>
  <si>
    <t>GPU FLOPS</t>
  </si>
  <si>
    <t>HOPE chunks</t>
  </si>
  <si>
    <t>Main mem chunks</t>
  </si>
  <si>
    <t>OSL</t>
  </si>
  <si>
    <t>Low rank dim</t>
  </si>
  <si>
    <t>dtype bit</t>
  </si>
  <si>
    <t>CMS_N # of expert ratio</t>
  </si>
  <si>
    <t>Element bytes</t>
  </si>
  <si>
    <t>FA KV HBM mult</t>
  </si>
  <si>
    <t>KV split chunk</t>
  </si>
  <si>
    <t>Head dim</t>
  </si>
  <si>
    <t>Partial bytes</t>
  </si>
  <si>
    <t>Aux memories</t>
  </si>
  <si>
    <t>Mutable memories</t>
  </si>
  <si>
    <t>Main memory chunk</t>
  </si>
  <si>
    <t>CMS C1</t>
  </si>
  <si>
    <t>CMS C2</t>
  </si>
  <si>
    <t>CMS update L3</t>
  </si>
  <si>
    <t>CMS E1</t>
  </si>
  <si>
    <t>CMS E2</t>
  </si>
  <si>
    <t>Decode splits</t>
  </si>
  <si>
    <t>Conv window</t>
  </si>
  <si>
    <t>Prefill</t>
  </si>
  <si>
    <t>Full Attn</t>
  </si>
  <si>
    <t>A elems</t>
  </si>
  <si>
    <t>B elems</t>
  </si>
  <si>
    <t>kernel / ops</t>
  </si>
  <si>
    <t>C elems</t>
  </si>
  <si>
    <t>FLOPS</t>
  </si>
  <si>
    <t>Read bytes</t>
  </si>
  <si>
    <t>Write bytes</t>
  </si>
  <si>
    <t>Total bytes</t>
  </si>
  <si>
    <t>AI (F/B)</t>
  </si>
  <si>
    <t>memory ms</t>
  </si>
  <si>
    <t>compute ms</t>
  </si>
  <si>
    <t>roofline ms</t>
  </si>
  <si>
    <t>bound</t>
  </si>
  <si>
    <t>QKV proj</t>
  </si>
  <si>
    <t>Pre-RMSNorm + QKV + RoPE</t>
  </si>
  <si>
    <t>GEMM [N,D]x[D,3D]</t>
  </si>
  <si>
    <t>Attention</t>
  </si>
  <si>
    <t>FlashAttention causal fused</t>
  </si>
  <si>
    <t>QKᵀ+mask+online softmax+PV</t>
  </si>
  <si>
    <t>Output projection</t>
  </si>
  <si>
    <t>GEMM [N,D]x[D,D]</t>
  </si>
  <si>
    <t>Residual state + RMSNorm</t>
  </si>
  <si>
    <t>fused elementwise</t>
  </si>
  <si>
    <t>MoE</t>
  </si>
  <si>
    <t>Router + TopK</t>
  </si>
  <si>
    <t>GEMM + fused TopK</t>
  </si>
  <si>
    <t>Token dispatch / permute</t>
  </si>
  <si>
    <t>copy / radix offsets</t>
  </si>
  <si>
    <t>Grouped Gate/Up + SwiGLU</t>
  </si>
  <si>
    <t>grouped GEMM + fused epilogue</t>
  </si>
  <si>
    <t>Grouped Down + weighted residual combine</t>
  </si>
  <si>
    <t>grouped GEMM + unpermute</t>
  </si>
  <si>
    <t>FULL ATTN TTFT</t>
  </si>
  <si>
    <t>TTFT sequential sum</t>
  </si>
  <si>
    <t>HOPE — one chunk model</t>
  </si>
  <si>
    <t>Forward — Titans</t>
  </si>
  <si>
    <t>Static Wq + local conv + q L2 norm</t>
  </si>
  <si>
    <t>fused projection prologue/epilogue</t>
  </si>
  <si>
    <t/>
  </si>
  <si>
    <t>M_memory MLP layer 1 (D→MEM_HIDDEN)</t>
  </si>
  <si>
    <t>chunk GEMM</t>
  </si>
  <si>
    <t>M_memory MLP layer 2 + residual</t>
  </si>
  <si>
    <t>chunk GEMM + residual</t>
  </si>
  <si>
    <t>Subtotal</t>
  </si>
  <si>
    <t>TITANS FORWARD / CHUNK</t>
  </si>
  <si>
    <t>sequential kernel sum</t>
  </si>
  <si>
    <t>Forward — CMS</t>
  </si>
  <si>
    <t>CMS L1 router + TopK</t>
  </si>
  <si>
    <t>router + fused TopK</t>
  </si>
  <si>
    <t>CMS L1 expert A (D→LRD)</t>
  </si>
  <si>
    <t>grouped low-rank GEMM</t>
  </si>
  <si>
    <t>CMS L1 expert B (LRD→D) + residual</t>
  </si>
  <si>
    <t>expert B + residual</t>
  </si>
  <si>
    <t>CMS L2 router + TopK</t>
  </si>
  <si>
    <t>CMS L2 expert A (D→LRD)</t>
  </si>
  <si>
    <t>CMS L2 expert B (LRD→D) + residual</t>
  </si>
  <si>
    <t>CMS L3 router + TopK</t>
  </si>
  <si>
    <t>CMS L3 expert A (D→LRD)</t>
  </si>
  <si>
    <t>CMS L3 expert B (LRD→D) + residual</t>
  </si>
  <si>
    <t>CMS FORWARD / CHUNK</t>
  </si>
  <si>
    <t>Forward total</t>
  </si>
  <si>
    <t>TITANS + CMS FORWARD / CHUNK</t>
  </si>
  <si>
    <t>dependency subtotal sum</t>
  </si>
  <si>
    <t>Loss prep</t>
  </si>
  <si>
    <t>Aux {k,v,η,α} MLP layer 1</t>
  </si>
  <si>
    <t>grouped aux GEMM</t>
  </si>
  <si>
    <t>Aux {k,v,η,α} MLP layer 2 + residual</t>
  </si>
  <si>
    <t>grouped aux GEMM + residual</t>
  </si>
  <si>
    <t>Inner loss</t>
  </si>
  <si>
    <t>M□(k), M□(v) layer 1</t>
  </si>
  <si>
    <t>grouped dual-branch GEMM</t>
  </si>
  <si>
    <t>M□(k), M□(v) layer 2 + residual</t>
  </si>
  <si>
    <t>L2 inner residual + backward seed</t>
  </si>
  <si>
    <t>fused L2 residual</t>
  </si>
  <si>
    <t>LOSS / CHUNK</t>
  </si>
  <si>
    <t>Backward</t>
  </si>
  <si>
    <t>MLP layer 2 backward + dW1</t>
  </si>
  <si>
    <t>backward GEMM bundle</t>
  </si>
  <si>
    <t>MLP layer 1 dW2</t>
  </si>
  <si>
    <t>input-layer dW GEMM</t>
  </si>
  <si>
    <t>Update</t>
  </si>
  <si>
    <t>Input-layer DGD rank≤Chunk + optimizer apply</t>
  </si>
  <si>
    <t>fused low-rank DGD + RMW</t>
  </si>
  <si>
    <t>Output-layer optimizer apply / RMW</t>
  </si>
  <si>
    <t>optimizer epilogue</t>
  </si>
  <si>
    <t>BACKWARD + UPDATE / CHUNK</t>
  </si>
  <si>
    <t>TTFT</t>
  </si>
  <si>
    <t>HOPE FORWARD TTFT</t>
  </si>
  <si>
    <t>MEM_CHUNKS × forward/chunk</t>
  </si>
  <si>
    <t>TTFT overhead</t>
  </si>
  <si>
    <t>ONLINE LEARNING TTFT OVERHEAD</t>
  </si>
  <si>
    <t>HOPE_CHUNKS × (loss+bwd/update)</t>
  </si>
  <si>
    <t>HOPE</t>
  </si>
  <si>
    <t>HOPE TTFT incl. online learning</t>
  </si>
  <si>
    <t>Decode — next token</t>
  </si>
  <si>
    <t>Pre-RMSNorm + QKV + RoPE + KV append</t>
  </si>
  <si>
    <t>fused projection + KV append</t>
  </si>
  <si>
    <t>FlashDecode split-K partial</t>
  </si>
  <si>
    <t>QK+online softmax+PV per split</t>
  </si>
  <si>
    <t>FlashDecode split reduction</t>
  </si>
  <si>
    <t>online-softmax combine</t>
  </si>
  <si>
    <t>Attention output projection</t>
  </si>
  <si>
    <t>GEMM [B,D]x[D,D]</t>
  </si>
  <si>
    <t>FULL ATTN ITL</t>
  </si>
  <si>
    <t>HOPE — next token</t>
  </si>
  <si>
    <t>token GEMM</t>
  </si>
  <si>
    <t>token GEMM + residual</t>
  </si>
  <si>
    <t>TITANS FORWARD / TOKEN</t>
  </si>
  <si>
    <t>CMS FORWARD / TOKEN</t>
  </si>
  <si>
    <t>TITANS + CMS FORWARD / TOKEN</t>
  </si>
  <si>
    <t>LOSS / TOKEN</t>
  </si>
  <si>
    <t>Input-layer DGD rank-1 + optimizer apply</t>
  </si>
  <si>
    <t>fused rank-1 DGD + RMW</t>
  </si>
  <si>
    <t>BACKWARD + UPDATE / TOKEN</t>
  </si>
  <si>
    <t>ITL</t>
  </si>
  <si>
    <t>HOPE FORWARD ITL</t>
  </si>
  <si>
    <t>forward dependency path</t>
  </si>
  <si>
    <t>ITL overhead</t>
  </si>
  <si>
    <t>ONLINE LEARNING ITL OVERHEAD</t>
  </si>
  <si>
    <t>HOPE ITL incl. online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</si>
</sst>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E+0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E3F6B"/>
        <bgColor rgb="FF1E3F6B"/>
      </patternFill>
    </fill>
    <fill>
      <patternFill patternType="solid">
        <fgColor rgb="FFEDEFF2"/>
        <bgColor rgb="FFEDEFF2"/>
      </patternFill>
    </fill>
    <fill>
      <patternFill patternType="solid">
        <fgColor rgb="FFDBEAF7"/>
        <bgColor rgb="FFDBEAF7"/>
      </patternFill>
    </fill>
    <fill>
      <patternFill patternType="solid">
        <fgColor rgb="FFD1E2F9"/>
        <bgColor rgb="FFD1E2F9"/>
      </patternFill>
    </fill>
    <fill>
      <patternFill patternType="solid">
        <fgColor rgb="FFEDF2F9"/>
        <bgColor rgb="FFEDF2F9"/>
      </patternFill>
    </fill>
  </fills>
  <borders count="3">
    <border/>
    <border>
      <top style="medium">
        <color rgb="FF385472"/>
      </top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2" fontId="3" numFmtId="2" xfId="0" applyAlignment="1" applyFont="1" applyNumberFormat="1">
      <alignment horizontal="center" readingOrder="0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readingOrder="0"/>
    </xf>
    <xf borderId="0" fillId="3" fontId="4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readingOrder="0" shrinkToFit="0" wrapText="1"/>
    </xf>
    <xf borderId="0" fillId="0" fontId="1" numFmtId="2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1" fillId="4" fontId="4" numFmtId="0" xfId="0" applyBorder="1" applyFill="1" applyFont="1"/>
    <xf borderId="2" fillId="5" fontId="4" numFmtId="0" xfId="0" applyAlignment="1" applyBorder="1" applyFill="1" applyFont="1">
      <alignment readingOrder="0"/>
    </xf>
    <xf borderId="2" fillId="5" fontId="4" numFmtId="0" xfId="0" applyAlignment="1" applyBorder="1" applyFont="1">
      <alignment readingOrder="0" shrinkToFit="0" wrapText="1"/>
    </xf>
    <xf borderId="2" fillId="5" fontId="4" numFmtId="164" xfId="0" applyBorder="1" applyFont="1" applyNumberFormat="1"/>
    <xf borderId="2" fillId="5" fontId="4" numFmtId="164" xfId="0" applyAlignment="1" applyBorder="1" applyFont="1" applyNumberFormat="1">
      <alignment readingOrder="0" shrinkToFit="0" wrapText="1"/>
    </xf>
    <xf borderId="2" fillId="5" fontId="4" numFmtId="2" xfId="0" applyBorder="1" applyFont="1" applyNumberFormat="1"/>
    <xf borderId="2" fillId="5" fontId="4" numFmtId="165" xfId="0" applyBorder="1" applyFont="1" applyNumberFormat="1"/>
    <xf borderId="1" fillId="4" fontId="4" numFmtId="0" xfId="0" applyAlignment="1" applyBorder="1" applyFont="1">
      <alignment horizontal="center"/>
    </xf>
    <xf borderId="0" fillId="2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6" fontId="4" numFmtId="0" xfId="0" applyAlignment="1" applyFill="1" applyFont="1">
      <alignment readingOrder="0"/>
    </xf>
    <xf borderId="0" fillId="6" fontId="4" numFmtId="0" xfId="0" applyAlignment="1" applyFont="1">
      <alignment readingOrder="0" shrinkToFit="0" wrapText="1"/>
    </xf>
    <xf borderId="0" fillId="6" fontId="4" numFmtId="164" xfId="0" applyFont="1" applyNumberFormat="1"/>
    <xf borderId="0" fillId="6" fontId="4" numFmtId="164" xfId="0" applyAlignment="1" applyFont="1" applyNumberFormat="1">
      <alignment readingOrder="0" shrinkToFit="0" wrapText="1"/>
    </xf>
    <xf borderId="0" fillId="6" fontId="4" numFmtId="2" xfId="0" applyFont="1" applyNumberFormat="1"/>
    <xf borderId="0" fillId="6" fontId="4" numFmtId="165" xfId="0" applyFont="1" applyNumberFormat="1"/>
    <xf borderId="0" fillId="3" fontId="4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6" fontId="4" numFmtId="0" xfId="0" applyAlignment="1" applyFont="1">
      <alignment readingOrder="0"/>
    </xf>
    <xf borderId="1" fillId="6" fontId="4" numFmtId="0" xfId="0" applyAlignment="1" applyBorder="1" applyFont="1">
      <alignment readingOrder="0"/>
    </xf>
    <xf borderId="1" fillId="6" fontId="4" numFmtId="0" xfId="0" applyAlignment="1" applyBorder="1" applyFont="1">
      <alignment readingOrder="0" shrinkToFit="0" wrapText="1"/>
    </xf>
    <xf borderId="1" fillId="6" fontId="4" numFmtId="164" xfId="0" applyBorder="1" applyFont="1" applyNumberFormat="1"/>
    <xf borderId="1" fillId="6" fontId="4" numFmtId="164" xfId="0" applyAlignment="1" applyBorder="1" applyFont="1" applyNumberFormat="1">
      <alignment readingOrder="0" shrinkToFit="0" wrapText="1"/>
    </xf>
    <xf borderId="1" fillId="6" fontId="4" numFmtId="2" xfId="0" applyBorder="1" applyFont="1" applyNumberFormat="1"/>
    <xf borderId="1" fillId="6" fontId="4" numFmtId="165" xfId="0" applyBorder="1" applyFont="1" applyNumberFormat="1"/>
    <xf borderId="0" fillId="4" fontId="4" numFmtId="0" xfId="0" applyFont="1"/>
    <xf borderId="0" fillId="4" fontId="4" numFmtId="0" xfId="0" applyAlignment="1" applyFont="1">
      <alignment horizontal="center"/>
    </xf>
    <xf borderId="0" fillId="2" fontId="2" numFmtId="0" xfId="0" applyAlignment="1" applyFont="1">
      <alignment shrinkToFit="0" vertical="center" wrapText="1"/>
    </xf>
    <xf borderId="0" fillId="2" fontId="2" numFmtId="164" xfId="0" applyAlignment="1" applyFont="1" applyNumberFormat="1">
      <alignment vertical="center"/>
    </xf>
    <xf borderId="0" fillId="2" fontId="2" numFmtId="164" xfId="0" applyAlignment="1" applyFont="1" applyNumberFormat="1">
      <alignment shrinkToFit="0" vertical="center" wrapText="1"/>
    </xf>
    <xf borderId="0" fillId="2" fontId="2" numFmtId="2" xfId="0" applyAlignment="1" applyFont="1" applyNumberFormat="1">
      <alignment vertical="center"/>
    </xf>
    <xf borderId="0" fillId="2" fontId="2" numFmtId="165" xfId="0" applyAlignment="1" applyFont="1" applyNumberFormat="1">
      <alignment vertical="center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3.88"/>
    <col customWidth="1" min="3" max="3" width="32.0"/>
    <col customWidth="1" min="4" max="5" width="13.88"/>
    <col customWidth="1" min="6" max="6" width="23.25"/>
    <col customWidth="1" min="7" max="11" width="14.88"/>
    <col customWidth="1" min="12" max="12" width="11.13"/>
    <col customWidth="1" min="13" max="15" width="12.38"/>
    <col customWidth="1" min="16" max="16" width="16.38"/>
    <col customWidth="1" min="17" max="25" width="15.75"/>
  </cols>
  <sheetData>
    <row r="1" ht="21.0" customHeight="1">
      <c r="A1" s="1" t="s">
        <v>0</v>
      </c>
      <c r="G1" s="1" t="s">
        <v>1</v>
      </c>
      <c r="H1" s="1">
        <v>2048.0</v>
      </c>
      <c r="J1" s="1" t="s">
        <v>2</v>
      </c>
      <c r="K1" s="2">
        <f>POW(10,9)</f>
        <v>1000000000</v>
      </c>
      <c r="L1" s="1" t="s">
        <v>3</v>
      </c>
      <c r="M1" s="2">
        <f>POW(10,12)</f>
        <v>1000000000000</v>
      </c>
      <c r="N1" s="1" t="s">
        <v>4</v>
      </c>
      <c r="O1" s="2">
        <f>POW(10,15)</f>
        <v>1E+15</v>
      </c>
    </row>
    <row r="2" ht="28.5" customHeight="1">
      <c r="A2" s="1" t="s">
        <v>5</v>
      </c>
      <c r="B2" s="1">
        <v>32.0</v>
      </c>
      <c r="C2" s="1" t="s">
        <v>6</v>
      </c>
      <c r="D2" s="1">
        <v>8192.0</v>
      </c>
      <c r="E2" s="1" t="s">
        <v>7</v>
      </c>
      <c r="F2" s="1">
        <v>128.0</v>
      </c>
      <c r="G2" s="1" t="s">
        <v>8</v>
      </c>
      <c r="H2" s="1">
        <v>3.0</v>
      </c>
      <c r="J2" s="1" t="s">
        <v>9</v>
      </c>
      <c r="K2" s="2">
        <f>7.4*TERA</f>
        <v>7400000000000</v>
      </c>
      <c r="L2" s="3" t="s">
        <v>10</v>
      </c>
      <c r="M2" s="2">
        <f>D</f>
        <v>8192</v>
      </c>
      <c r="N2" s="3" t="s">
        <v>11</v>
      </c>
      <c r="O2" s="2">
        <f>ROUND(CMS_E2*CMS_n_r,0)</f>
        <v>256</v>
      </c>
    </row>
    <row r="3" ht="28.5" customHeight="1">
      <c r="A3" s="1" t="s">
        <v>12</v>
      </c>
      <c r="B3" s="1">
        <v>131072.0</v>
      </c>
      <c r="C3" s="1" t="s">
        <v>13</v>
      </c>
      <c r="D3" s="2">
        <f>D*2</f>
        <v>16384</v>
      </c>
      <c r="E3" s="1" t="s">
        <v>14</v>
      </c>
      <c r="F3" s="1">
        <v>1.0</v>
      </c>
      <c r="G3" s="1" t="s">
        <v>15</v>
      </c>
      <c r="H3" s="1">
        <v>0.5</v>
      </c>
      <c r="J3" s="1" t="s">
        <v>16</v>
      </c>
      <c r="K3" s="2">
        <f>4614*TERA</f>
        <v>4.614E+15</v>
      </c>
      <c r="L3" s="3" t="s">
        <v>17</v>
      </c>
      <c r="M3" s="2">
        <f>CEILING(ISL/Chunk,1)</f>
        <v>64</v>
      </c>
      <c r="N3" s="3" t="s">
        <v>18</v>
      </c>
      <c r="O3" s="2">
        <f>CEILING(ISL/C_mem,1)</f>
        <v>64</v>
      </c>
    </row>
    <row r="4" ht="28.5" customHeight="1">
      <c r="A4" s="1" t="s">
        <v>19</v>
      </c>
      <c r="B4" s="1">
        <v>8192.0</v>
      </c>
      <c r="C4" s="1" t="s">
        <v>20</v>
      </c>
      <c r="D4" s="1">
        <v>64.0</v>
      </c>
      <c r="E4" s="1" t="s">
        <v>21</v>
      </c>
      <c r="F4" s="1">
        <v>8.0</v>
      </c>
      <c r="G4" s="1" t="s">
        <v>22</v>
      </c>
      <c r="H4" s="1">
        <v>2.0</v>
      </c>
    </row>
    <row r="5" ht="28.5" customHeight="1">
      <c r="A5" s="3" t="s">
        <v>23</v>
      </c>
      <c r="B5" s="2">
        <f>bit/8</f>
        <v>1</v>
      </c>
      <c r="C5" s="3" t="s">
        <v>24</v>
      </c>
      <c r="D5" s="3">
        <v>1.0</v>
      </c>
      <c r="E5" s="3" t="s">
        <v>25</v>
      </c>
      <c r="F5" s="3">
        <v>2048.0</v>
      </c>
      <c r="G5" s="3" t="s">
        <v>26</v>
      </c>
      <c r="H5" s="3">
        <v>128.0</v>
      </c>
      <c r="I5" s="3"/>
      <c r="J5" s="3" t="s">
        <v>27</v>
      </c>
      <c r="K5" s="3">
        <v>4.0</v>
      </c>
    </row>
    <row r="6" ht="28.5" customHeight="1">
      <c r="A6" s="3" t="s">
        <v>28</v>
      </c>
      <c r="B6" s="3">
        <v>4.0</v>
      </c>
      <c r="C6" s="3" t="s">
        <v>29</v>
      </c>
      <c r="D6" s="2">
        <f>nAux+1</f>
        <v>5</v>
      </c>
      <c r="E6" s="3" t="s">
        <v>30</v>
      </c>
      <c r="F6" s="2">
        <f>Chunk</f>
        <v>2048</v>
      </c>
      <c r="G6" s="3" t="s">
        <v>31</v>
      </c>
      <c r="H6" s="3">
        <v>1000.0</v>
      </c>
      <c r="I6" s="3"/>
      <c r="J6" s="3" t="s">
        <v>32</v>
      </c>
      <c r="K6" s="3">
        <v>5000.0</v>
      </c>
    </row>
    <row r="7" ht="28.5" customHeight="1">
      <c r="A7" s="3" t="s">
        <v>33</v>
      </c>
      <c r="B7" s="3">
        <v>10000.0</v>
      </c>
      <c r="C7" s="3" t="s">
        <v>34</v>
      </c>
      <c r="D7" s="2">
        <f>ROUND(nE*CMS_1_r,0)</f>
        <v>64</v>
      </c>
      <c r="E7" s="3" t="s">
        <v>35</v>
      </c>
      <c r="F7" s="2">
        <f>ROUND(CMS_E1*CMS_n_r,0)</f>
        <v>128</v>
      </c>
      <c r="G7" s="3" t="s">
        <v>36</v>
      </c>
      <c r="H7" s="3">
        <f>CEILING(ISL/KV_SPLIT,1)</f>
        <v>64</v>
      </c>
      <c r="J7" s="3" t="s">
        <v>37</v>
      </c>
      <c r="K7" s="3">
        <v>4.0</v>
      </c>
    </row>
    <row r="8" ht="28.5" customHeight="1">
      <c r="A8" s="4" t="s">
        <v>38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22.5" customHeight="1">
      <c r="A9" s="6"/>
      <c r="B9" s="7" t="s">
        <v>39</v>
      </c>
      <c r="C9" s="6"/>
      <c r="D9" s="8" t="s">
        <v>40</v>
      </c>
      <c r="E9" s="8" t="s">
        <v>41</v>
      </c>
      <c r="F9" s="8" t="s">
        <v>42</v>
      </c>
      <c r="G9" s="8" t="s">
        <v>43</v>
      </c>
      <c r="H9" s="8" t="s">
        <v>44</v>
      </c>
      <c r="I9" s="8" t="s">
        <v>45</v>
      </c>
      <c r="J9" s="8" t="s">
        <v>46</v>
      </c>
      <c r="K9" s="8" t="s">
        <v>47</v>
      </c>
      <c r="L9" s="9" t="s">
        <v>48</v>
      </c>
      <c r="M9" s="10" t="s">
        <v>49</v>
      </c>
      <c r="N9" s="10" t="s">
        <v>50</v>
      </c>
      <c r="O9" s="10" t="s">
        <v>51</v>
      </c>
      <c r="P9" s="7" t="s">
        <v>52</v>
      </c>
    </row>
    <row r="10" ht="22.5" customHeight="1">
      <c r="B10" s="11" t="s">
        <v>53</v>
      </c>
      <c r="C10" s="12" t="s">
        <v>54</v>
      </c>
      <c r="D10" s="13">
        <f>B*ISL*D</f>
        <v>34359738368</v>
      </c>
      <c r="E10" s="13">
        <f>3*D^2</f>
        <v>201326592</v>
      </c>
      <c r="F10" s="14" t="s">
        <v>55</v>
      </c>
      <c r="G10" s="13">
        <f>3*B*ISL*D</f>
        <v>103079215104</v>
      </c>
      <c r="H10" s="13">
        <f>2*B*ISL*D*(3*D)+11*B*ISL*D</f>
        <v>1.68923E+15</v>
      </c>
      <c r="I10" s="13">
        <f>(D10+E10+D)*ELEM_BYTES</f>
        <v>34561073152</v>
      </c>
      <c r="J10" s="13">
        <f>G10*ELEM_BYTES</f>
        <v>103079215104</v>
      </c>
      <c r="K10" s="13">
        <f t="shared" ref="K10:K18" si="1">I10+J10</f>
        <v>137640288256</v>
      </c>
      <c r="L10" s="15">
        <f t="shared" ref="L10:L18" si="2">IFERROR(H10/K10,0)</f>
        <v>12272.77158</v>
      </c>
      <c r="M10" s="16">
        <f>K10/HBM_BW*1000</f>
        <v>18.60003895</v>
      </c>
      <c r="N10" s="16">
        <f>H10/FLOPS*1000</f>
        <v>366.1091932</v>
      </c>
      <c r="O10" s="16">
        <f t="shared" ref="O10:O17" si="3">MAX(M10,N10)</f>
        <v>366.1091932</v>
      </c>
      <c r="P10" s="17" t="str">
        <f t="shared" ref="P10:P17" si="4">IF(N10&gt;=M10,"compute","memory_bw")</f>
        <v>compute</v>
      </c>
    </row>
    <row r="11" ht="22.5" customHeight="1">
      <c r="B11" s="1" t="s">
        <v>56</v>
      </c>
      <c r="C11" s="18" t="s">
        <v>57</v>
      </c>
      <c r="D11" s="13">
        <f>3*B*ISL*D</f>
        <v>103079215104</v>
      </c>
      <c r="E11" s="13">
        <f>B*ISL*(ISL+1)/2</f>
        <v>274880004096</v>
      </c>
      <c r="F11" s="14" t="s">
        <v>58</v>
      </c>
      <c r="G11" s="13">
        <f>B*ISL*D</f>
        <v>34359738368</v>
      </c>
      <c r="H11" s="13">
        <f>2*B*D*ISL*(ISL+1)</f>
        <v>9.00727E+15</v>
      </c>
      <c r="I11" s="13">
        <f>(B*ISL*D+2*B*ISL*D*FA_KV_HBM_MULT)*ELEM_BYTES</f>
        <v>103079215104</v>
      </c>
      <c r="J11" s="13">
        <f>G11*ELEM_BYTES</f>
        <v>34359738368</v>
      </c>
      <c r="K11" s="13">
        <f t="shared" si="1"/>
        <v>137438953472</v>
      </c>
      <c r="L11" s="15">
        <f t="shared" si="2"/>
        <v>65536.5</v>
      </c>
      <c r="M11" s="16">
        <f>K11/HBM_BW*1000</f>
        <v>18.57283155</v>
      </c>
      <c r="N11" s="16">
        <f>H11/FLOPS*1000</f>
        <v>1952.160376</v>
      </c>
      <c r="O11" s="16">
        <f t="shared" si="3"/>
        <v>1952.160376</v>
      </c>
      <c r="P11" s="17" t="str">
        <f t="shared" si="4"/>
        <v>compute</v>
      </c>
    </row>
    <row r="12" ht="22.5" customHeight="1">
      <c r="C12" s="18" t="s">
        <v>59</v>
      </c>
      <c r="D12" s="13">
        <f>B*ISL*D</f>
        <v>34359738368</v>
      </c>
      <c r="E12" s="13">
        <f>D^2</f>
        <v>67108864</v>
      </c>
      <c r="F12" s="14" t="s">
        <v>60</v>
      </c>
      <c r="G12" s="13">
        <f>B*ISL*D</f>
        <v>34359738368</v>
      </c>
      <c r="H12" s="13">
        <f>2*B*ISL*D^2</f>
        <v>562949953421312</v>
      </c>
      <c r="I12" s="13">
        <f>(D12+E12)*ELEM_BYTES</f>
        <v>34426847232</v>
      </c>
      <c r="J12" s="13">
        <f>G12*ELEM_BYTES</f>
        <v>34359738368</v>
      </c>
      <c r="K12" s="13">
        <f t="shared" si="1"/>
        <v>68786585600</v>
      </c>
      <c r="L12" s="15">
        <f t="shared" si="2"/>
        <v>8184.007805</v>
      </c>
      <c r="M12" s="16">
        <f>K12/HBM_BW*1000</f>
        <v>9.295484541</v>
      </c>
      <c r="N12" s="16">
        <f>H12/FLOPS*1000</f>
        <v>122.0090926</v>
      </c>
      <c r="O12" s="16">
        <f t="shared" si="3"/>
        <v>122.0090926</v>
      </c>
      <c r="P12" s="17" t="str">
        <f t="shared" si="4"/>
        <v>compute</v>
      </c>
    </row>
    <row r="13" ht="22.5" customHeight="1">
      <c r="C13" s="18" t="s">
        <v>61</v>
      </c>
      <c r="D13" s="13">
        <f>2*B*ISL*D</f>
        <v>68719476736</v>
      </c>
      <c r="E13" s="13">
        <f>D</f>
        <v>8192</v>
      </c>
      <c r="F13" s="14" t="s">
        <v>62</v>
      </c>
      <c r="G13" s="13">
        <f>2*B*ISL*D</f>
        <v>68719476736</v>
      </c>
      <c r="H13" s="13">
        <f>6*B*ISL*D</f>
        <v>206158430208</v>
      </c>
      <c r="I13" s="13">
        <f>(D13+E13)*ELEM_BYTES</f>
        <v>68719484928</v>
      </c>
      <c r="J13" s="13">
        <f>G13*ELEM_BYTES</f>
        <v>68719476736</v>
      </c>
      <c r="K13" s="13">
        <f t="shared" si="1"/>
        <v>137438961664</v>
      </c>
      <c r="L13" s="15">
        <f t="shared" si="2"/>
        <v>1.499999911</v>
      </c>
      <c r="M13" s="16">
        <f>K13/HBM_BW*1000</f>
        <v>18.57283266</v>
      </c>
      <c r="N13" s="16">
        <f>H13/FLOPS*1000</f>
        <v>0.0446810642</v>
      </c>
      <c r="O13" s="16">
        <f t="shared" si="3"/>
        <v>18.57283266</v>
      </c>
      <c r="P13" s="17" t="str">
        <f t="shared" si="4"/>
        <v>memory_bw</v>
      </c>
    </row>
    <row r="14" ht="22.5" customHeight="1">
      <c r="B14" s="3" t="s">
        <v>63</v>
      </c>
      <c r="C14" s="18" t="s">
        <v>64</v>
      </c>
      <c r="D14" s="13">
        <f>B*ISL*D</f>
        <v>34359738368</v>
      </c>
      <c r="E14" s="13">
        <f>D*nE</f>
        <v>1048576</v>
      </c>
      <c r="F14" s="14" t="s">
        <v>65</v>
      </c>
      <c r="G14" s="13">
        <f>B*ISL*topK</f>
        <v>4194304</v>
      </c>
      <c r="H14" s="13">
        <f>2*B*ISL*D*nE+5*B*ISL*nE</f>
        <v>8798777376768</v>
      </c>
      <c r="I14" s="13">
        <f>(D14+E14)*ELEM_BYTES</f>
        <v>34360786944</v>
      </c>
      <c r="J14" s="13">
        <f>G14*(ELEM_BYTES+4)</f>
        <v>20971520</v>
      </c>
      <c r="K14" s="13">
        <f t="shared" si="1"/>
        <v>34381758464</v>
      </c>
      <c r="L14" s="15">
        <f t="shared" si="2"/>
        <v>255.9141175</v>
      </c>
      <c r="M14" s="16">
        <f>K14/HBM_BW*1000</f>
        <v>4.646183576</v>
      </c>
      <c r="N14" s="16">
        <f>H14/FLOPS*1000</f>
        <v>1.906973857</v>
      </c>
      <c r="O14" s="16">
        <f t="shared" si="3"/>
        <v>4.646183576</v>
      </c>
      <c r="P14" s="17" t="str">
        <f t="shared" si="4"/>
        <v>memory_bw</v>
      </c>
    </row>
    <row r="15" ht="22.5" customHeight="1">
      <c r="B15" s="11"/>
      <c r="C15" s="12" t="s">
        <v>66</v>
      </c>
      <c r="D15" s="13">
        <f>B*ISL*(D+topK)</f>
        <v>34363932672</v>
      </c>
      <c r="E15" s="13">
        <f>0</f>
        <v>0</v>
      </c>
      <c r="F15" s="14" t="s">
        <v>67</v>
      </c>
      <c r="G15" s="13">
        <f>B*ISL*topK*D</f>
        <v>34359738368</v>
      </c>
      <c r="H15" s="13">
        <f>0</f>
        <v>0</v>
      </c>
      <c r="I15" s="13">
        <f>(B*ISL*D)*ELEM_BYTES+B*ISL*topK*(ELEM_BYTES+4)</f>
        <v>34380709888</v>
      </c>
      <c r="J15" s="13">
        <f>G15*ELEM_BYTES</f>
        <v>34359738368</v>
      </c>
      <c r="K15" s="13">
        <f t="shared" si="1"/>
        <v>68740448256</v>
      </c>
      <c r="L15" s="15">
        <f t="shared" si="2"/>
        <v>0</v>
      </c>
      <c r="M15" s="16">
        <f>K15/HBM_BW*1000</f>
        <v>9.289249764</v>
      </c>
      <c r="N15" s="16">
        <f>H15/FLOPS*1000</f>
        <v>0</v>
      </c>
      <c r="O15" s="16">
        <f t="shared" si="3"/>
        <v>9.289249764</v>
      </c>
      <c r="P15" s="17" t="str">
        <f t="shared" si="4"/>
        <v>memory_bw</v>
      </c>
    </row>
    <row r="16" ht="22.5" customHeight="1">
      <c r="C16" s="18" t="s">
        <v>68</v>
      </c>
      <c r="D16" s="13">
        <f>B*ISL*topK*D</f>
        <v>34359738368</v>
      </c>
      <c r="E16" s="13">
        <f>2*nE*D*ED</f>
        <v>34359738368</v>
      </c>
      <c r="F16" s="14" t="s">
        <v>69</v>
      </c>
      <c r="G16" s="13">
        <f>B*ISL*topK*ED</f>
        <v>68719476736</v>
      </c>
      <c r="H16" s="13">
        <f>4*B*ISL*topK*D*ED+4*B*ISL*topK*ED</f>
        <v>2.25207E+15</v>
      </c>
      <c r="I16" s="13">
        <f>(D16+E16)*ELEM_BYTES</f>
        <v>68719476736</v>
      </c>
      <c r="J16" s="13">
        <f>G16*ELEM_BYTES</f>
        <v>68719476736</v>
      </c>
      <c r="K16" s="13">
        <f t="shared" si="1"/>
        <v>137438953472</v>
      </c>
      <c r="L16" s="15">
        <f t="shared" si="2"/>
        <v>16386</v>
      </c>
      <c r="M16" s="16">
        <f>K16/HBM_BW*1000</f>
        <v>18.57283155</v>
      </c>
      <c r="N16" s="16">
        <f>H16/FLOPS*1000</f>
        <v>488.0959453</v>
      </c>
      <c r="O16" s="16">
        <f t="shared" si="3"/>
        <v>488.0959453</v>
      </c>
      <c r="P16" s="17" t="str">
        <f t="shared" si="4"/>
        <v>compute</v>
      </c>
    </row>
    <row r="17" ht="22.5" customHeight="1">
      <c r="C17" s="18" t="s">
        <v>70</v>
      </c>
      <c r="D17" s="13">
        <f>B*ISL*topK*ED</f>
        <v>68719476736</v>
      </c>
      <c r="E17" s="13">
        <f>nE*ED*D</f>
        <v>17179869184</v>
      </c>
      <c r="F17" s="14" t="s">
        <v>71</v>
      </c>
      <c r="G17" s="13">
        <f>B*ISL*D</f>
        <v>34359738368</v>
      </c>
      <c r="H17" s="13">
        <f>2*B*ISL*topK*ED*D+2*B*ISL*topK*D</f>
        <v>1.12597E+15</v>
      </c>
      <c r="I17" s="13">
        <f>(D17+E17+B*ISL*D)*ELEM_BYTES</f>
        <v>120259084288</v>
      </c>
      <c r="J17" s="13">
        <f>G17*ELEM_BYTES</f>
        <v>34359738368</v>
      </c>
      <c r="K17" s="13">
        <f t="shared" si="1"/>
        <v>154618822656</v>
      </c>
      <c r="L17" s="15">
        <f t="shared" si="2"/>
        <v>7282.222222</v>
      </c>
      <c r="M17" s="16">
        <f>K17/HBM_BW*1000</f>
        <v>20.89443549</v>
      </c>
      <c r="N17" s="16">
        <f>H17/FLOPS*1000</f>
        <v>244.033079</v>
      </c>
      <c r="O17" s="16">
        <f t="shared" si="3"/>
        <v>244.033079</v>
      </c>
      <c r="P17" s="17" t="str">
        <f t="shared" si="4"/>
        <v>compute</v>
      </c>
    </row>
    <row r="18" ht="22.5" customHeight="1">
      <c r="A18" s="19"/>
      <c r="B18" s="20" t="s">
        <v>39</v>
      </c>
      <c r="C18" s="21" t="s">
        <v>72</v>
      </c>
      <c r="D18" s="22"/>
      <c r="E18" s="22"/>
      <c r="F18" s="23" t="s">
        <v>73</v>
      </c>
      <c r="G18" s="22"/>
      <c r="H18" s="22">
        <f t="shared" ref="H18:J18" si="5">SUM(H10:H17)</f>
        <v>1.46465E+16</v>
      </c>
      <c r="I18" s="22">
        <f t="shared" si="5"/>
        <v>498506678272</v>
      </c>
      <c r="J18" s="22">
        <f t="shared" si="5"/>
        <v>377978093568</v>
      </c>
      <c r="K18" s="22">
        <f t="shared" si="1"/>
        <v>876484771840</v>
      </c>
      <c r="L18" s="24">
        <f t="shared" si="2"/>
        <v>16710.49455</v>
      </c>
      <c r="M18" s="25">
        <f t="shared" ref="M18:O18" si="6">SUM(M10:M17)</f>
        <v>118.4438881</v>
      </c>
      <c r="N18" s="25">
        <f t="shared" si="6"/>
        <v>3174.359341</v>
      </c>
      <c r="O18" s="25">
        <f t="shared" si="6"/>
        <v>3204.915952</v>
      </c>
      <c r="P18" s="26" t="str">
        <f>IF(N18&gt;=M18,"compute-dominant","memory-dominant")</f>
        <v>compute-dominant</v>
      </c>
    </row>
    <row r="19" ht="22.5" customHeight="1">
      <c r="A19" s="6"/>
      <c r="B19" s="7" t="s">
        <v>74</v>
      </c>
      <c r="C19" s="6"/>
      <c r="D19" s="8"/>
      <c r="E19" s="8"/>
      <c r="F19" s="8"/>
      <c r="G19" s="8"/>
      <c r="H19" s="8"/>
      <c r="I19" s="8"/>
      <c r="J19" s="8"/>
      <c r="K19" s="8"/>
      <c r="L19" s="9"/>
      <c r="M19" s="10"/>
      <c r="N19" s="10"/>
      <c r="O19" s="10"/>
      <c r="P19" s="27" t="s">
        <v>52</v>
      </c>
    </row>
    <row r="20" ht="22.5" customHeight="1">
      <c r="B20" s="11" t="s">
        <v>75</v>
      </c>
      <c r="C20" s="12" t="s">
        <v>76</v>
      </c>
      <c r="D20" s="13">
        <f>B*C_mem*D</f>
        <v>536870912</v>
      </c>
      <c r="E20" s="13">
        <f>D^2</f>
        <v>67108864</v>
      </c>
      <c r="F20" s="14" t="s">
        <v>77</v>
      </c>
      <c r="G20" s="13">
        <f>B*C_mem*D</f>
        <v>536870912</v>
      </c>
      <c r="H20" s="13">
        <f>2*B*C_mem*D^2+(2*CONV_WIN+5)*B*C_mem*D</f>
        <v>8803072344064</v>
      </c>
      <c r="I20" s="13">
        <f>(B*C_mem*D+D^2+CONV_WIN*D)*ELEM_BYTES</f>
        <v>604012544</v>
      </c>
      <c r="J20" s="13">
        <f>B*C_mem*D*ELEM_BYTES</f>
        <v>536870912</v>
      </c>
      <c r="K20" s="13">
        <f t="shared" ref="K20:K48" si="7">I20+J20</f>
        <v>1140883456</v>
      </c>
      <c r="L20" s="15">
        <f t="shared" ref="L20:L48" si="8">IFERROR(H20/K20,0)</f>
        <v>7716.013671</v>
      </c>
      <c r="M20" s="16">
        <f>K20/HBM_BW*1000</f>
        <v>0.15417344</v>
      </c>
      <c r="N20" s="16">
        <f>H20/FLOPS*1000</f>
        <v>1.907904713</v>
      </c>
      <c r="O20" s="16">
        <f t="shared" ref="O20:O22" si="9">MAX(M20,N20)</f>
        <v>1.907904713</v>
      </c>
      <c r="P20" s="17" t="str">
        <f t="shared" ref="P20:P23" si="10">IF(N20&gt;=M20,"compute","memory_bw")</f>
        <v>compute</v>
      </c>
    </row>
    <row r="21" ht="22.5" customHeight="1">
      <c r="B21" s="3" t="s">
        <v>78</v>
      </c>
      <c r="C21" s="28" t="s">
        <v>79</v>
      </c>
      <c r="D21" s="13">
        <f>B*C_mem*D</f>
        <v>536870912</v>
      </c>
      <c r="E21" s="13">
        <f>B*D*MEM_HIDDEN</f>
        <v>2147483648</v>
      </c>
      <c r="F21" s="14" t="s">
        <v>80</v>
      </c>
      <c r="G21" s="13">
        <f>B*C_mem*MEM_HIDDEN</f>
        <v>536870912</v>
      </c>
      <c r="H21" s="13">
        <f>2*B*C_mem*D*MEM_HIDDEN+4*B*C_mem*MEM_HIDDEN</f>
        <v>8798240505856</v>
      </c>
      <c r="I21" s="13">
        <f>(B*C_mem*D+B*D*MEM_HIDDEN)*ELEM_BYTES</f>
        <v>2684354560</v>
      </c>
      <c r="J21" s="13">
        <f>B*C_mem*MEM_HIDDEN*ELEM_BYTES</f>
        <v>536870912</v>
      </c>
      <c r="K21" s="13">
        <f t="shared" si="7"/>
        <v>3221225472</v>
      </c>
      <c r="L21" s="15">
        <f t="shared" si="8"/>
        <v>2731.333333</v>
      </c>
      <c r="M21" s="16">
        <f>K21/HBM_BW*1000</f>
        <v>0.4353007395</v>
      </c>
      <c r="N21" s="16">
        <f>H21/FLOPS*1000</f>
        <v>1.9068575</v>
      </c>
      <c r="O21" s="16">
        <f t="shared" si="9"/>
        <v>1.9068575</v>
      </c>
      <c r="P21" s="17" t="str">
        <f t="shared" si="10"/>
        <v>compute</v>
      </c>
    </row>
    <row r="22" ht="22.5" customHeight="1">
      <c r="B22" s="3" t="s">
        <v>78</v>
      </c>
      <c r="C22" s="28" t="s">
        <v>81</v>
      </c>
      <c r="D22" s="13">
        <f>B*C_mem*(MEM_HIDDEN+D)</f>
        <v>1073741824</v>
      </c>
      <c r="E22" s="13">
        <f>B*MEM_HIDDEN*D</f>
        <v>2147483648</v>
      </c>
      <c r="F22" s="14" t="s">
        <v>82</v>
      </c>
      <c r="G22" s="13">
        <f>B*C_mem*D</f>
        <v>536870912</v>
      </c>
      <c r="H22" s="13">
        <f>2*B*C_mem*MEM_HIDDEN*D+B*C_mem*D</f>
        <v>8796629893120</v>
      </c>
      <c r="I22" s="13">
        <f>(B*C_mem*(MEM_HIDDEN+D)+B*MEM_HIDDEN*D)*ELEM_BYTES</f>
        <v>3221225472</v>
      </c>
      <c r="J22" s="13">
        <f>B*C_mem*D*ELEM_BYTES</f>
        <v>536870912</v>
      </c>
      <c r="K22" s="13">
        <f t="shared" si="7"/>
        <v>3758096384</v>
      </c>
      <c r="L22" s="15">
        <f t="shared" si="8"/>
        <v>2340.714286</v>
      </c>
      <c r="M22" s="16">
        <f>K22/HBM_BW*1000</f>
        <v>0.5078508627</v>
      </c>
      <c r="N22" s="16">
        <f>H22/FLOPS*1000</f>
        <v>1.906508429</v>
      </c>
      <c r="O22" s="16">
        <f t="shared" si="9"/>
        <v>1.906508429</v>
      </c>
      <c r="P22" s="17" t="str">
        <f t="shared" si="10"/>
        <v>compute</v>
      </c>
    </row>
    <row r="23" ht="22.5" customHeight="1">
      <c r="B23" s="29" t="s">
        <v>83</v>
      </c>
      <c r="C23" s="30" t="s">
        <v>84</v>
      </c>
      <c r="D23" s="31"/>
      <c r="E23" s="31"/>
      <c r="F23" s="32" t="s">
        <v>85</v>
      </c>
      <c r="G23" s="31"/>
      <c r="H23" s="31">
        <f t="shared" ref="H23:J23" si="11">SUM(H20:H22)</f>
        <v>26397942743040</v>
      </c>
      <c r="I23" s="31">
        <f t="shared" si="11"/>
        <v>6509592576</v>
      </c>
      <c r="J23" s="31">
        <f t="shared" si="11"/>
        <v>1610612736</v>
      </c>
      <c r="K23" s="31">
        <f t="shared" si="7"/>
        <v>8120205312</v>
      </c>
      <c r="L23" s="33">
        <f t="shared" si="8"/>
        <v>3250.895972</v>
      </c>
      <c r="M23" s="34">
        <f t="shared" ref="M23:O23" si="12">SUM(M20:M22)</f>
        <v>1.097325042</v>
      </c>
      <c r="N23" s="34">
        <f t="shared" si="12"/>
        <v>5.721270642</v>
      </c>
      <c r="O23" s="34">
        <f t="shared" si="12"/>
        <v>5.721270642</v>
      </c>
      <c r="P23" s="17" t="str">
        <f t="shared" si="10"/>
        <v>compute</v>
      </c>
    </row>
    <row r="24" ht="22.5" customHeight="1">
      <c r="B24" s="3" t="s">
        <v>86</v>
      </c>
      <c r="C24" s="28" t="s">
        <v>87</v>
      </c>
      <c r="D24" s="13">
        <f>IF(nCMS_Lev&gt;=1,B*C_mem*D,0)</f>
        <v>536870912</v>
      </c>
      <c r="E24" s="13">
        <f>IF(nCMS_Lev&gt;=1,D*CMS_E1,0)</f>
        <v>524288</v>
      </c>
      <c r="F24" s="14" t="s">
        <v>88</v>
      </c>
      <c r="G24" s="13">
        <f>IF(nCMS_Lev&gt;=1,B*C_mem*topK,0)</f>
        <v>65536</v>
      </c>
      <c r="H24" s="13">
        <f>IF(nCMS_Lev&gt;=1,2*B*C_mem*D*CMS_E1,0)</f>
        <v>68719476736</v>
      </c>
      <c r="I24" s="13">
        <f>IF(nCMS_Lev&gt;=1,(B*C_mem*D+D*CMS_E1)*ELEM_BYTES,0)</f>
        <v>537395200</v>
      </c>
      <c r="J24" s="13">
        <f>IF(nCMS_Lev&gt;=1,B*C_mem*topK*(ELEM_BYTES+4),0)</f>
        <v>327680</v>
      </c>
      <c r="K24" s="13">
        <f t="shared" si="7"/>
        <v>537722880</v>
      </c>
      <c r="L24" s="15">
        <f t="shared" si="8"/>
        <v>127.7971968</v>
      </c>
      <c r="M24" s="16">
        <f>K24/HBM_BW*1000</f>
        <v>0.07266525405</v>
      </c>
      <c r="N24" s="16">
        <f>H24/FLOPS*1000</f>
        <v>0.01489368807</v>
      </c>
      <c r="O24" s="16">
        <f t="shared" ref="O24:O32" si="13">MAX(M24,N24)</f>
        <v>0.07266525405</v>
      </c>
      <c r="P24" s="17" t="str">
        <f>IF(nCMS_Lev&gt;=1,IF(N24&gt;=M24,"compute","memory_bw"),"inactive")</f>
        <v>memory_bw</v>
      </c>
    </row>
    <row r="25" ht="22.5" customHeight="1">
      <c r="B25" s="35" t="s">
        <v>78</v>
      </c>
      <c r="C25" s="36" t="s">
        <v>89</v>
      </c>
      <c r="D25" s="13">
        <f>IF(nCMS_Lev&gt;=1,B*C_mem*topK*D,0)</f>
        <v>536870912</v>
      </c>
      <c r="E25" s="13">
        <f>IF(nCMS_Lev&gt;=1,B*(CMS_E1*(1-(1-topK/CMS_E1)^C_mem))*D*LRD,0)</f>
        <v>1073741824</v>
      </c>
      <c r="F25" s="14" t="s">
        <v>90</v>
      </c>
      <c r="G25" s="13">
        <f>IF(nCMS_Lev&gt;=1,B*C_mem*topK*LRD,0)</f>
        <v>4194304</v>
      </c>
      <c r="H25" s="13">
        <f>IF(nCMS_Lev&gt;=1,2*B*C_mem*topK*D*LRD,0)</f>
        <v>68719476736</v>
      </c>
      <c r="I25" s="13">
        <f>IF(nCMS_Lev&gt;=1,(B*C_mem*topK*D+B*(CMS_E1*(1-(1-topK/CMS_E1)^C_mem))*D*LRD)*ELEM_BYTES,0)</f>
        <v>1610612736</v>
      </c>
      <c r="J25" s="13">
        <f>IF(nCMS_Lev&gt;=1,B*C_mem*topK*LRD*ELEM_BYTES,0)</f>
        <v>4194304</v>
      </c>
      <c r="K25" s="13">
        <f t="shared" si="7"/>
        <v>1614807040</v>
      </c>
      <c r="L25" s="15">
        <f t="shared" si="8"/>
        <v>42.55584416</v>
      </c>
      <c r="M25" s="16">
        <f>K25/HBM_BW*1000</f>
        <v>0.2182171676</v>
      </c>
      <c r="N25" s="16">
        <f>H25/FLOPS*1000</f>
        <v>0.01489368807</v>
      </c>
      <c r="O25" s="16">
        <f t="shared" si="13"/>
        <v>0.2182171676</v>
      </c>
      <c r="P25" s="17" t="str">
        <f>IF(nCMS_Lev&gt;=1,IF(N25&gt;=M25,"compute","memory_bw"),"inactive")</f>
        <v>memory_bw</v>
      </c>
    </row>
    <row r="26" ht="22.5" customHeight="1">
      <c r="B26" s="1" t="s">
        <v>78</v>
      </c>
      <c r="C26" s="28" t="s">
        <v>91</v>
      </c>
      <c r="D26" s="13">
        <f>IF(nCMS_Lev&gt;=1,B*C_mem*(topK*LRD+D),0)</f>
        <v>541065216</v>
      </c>
      <c r="E26" s="13">
        <f>IF(nCMS_Lev&gt;=1,B*(CMS_E1*(1-(1-topK/CMS_E1)^C_mem))*LRD*D,0)</f>
        <v>1073741824</v>
      </c>
      <c r="F26" s="14" t="s">
        <v>92</v>
      </c>
      <c r="G26" s="13">
        <f>IF(nCMS_Lev&gt;=1,B*C_mem*D,0)</f>
        <v>536870912</v>
      </c>
      <c r="H26" s="13">
        <f>IF(nCMS_Lev&gt;=1,2*B*C_mem*topK*LRD*D+B*C_mem*D,0)</f>
        <v>69256347648</v>
      </c>
      <c r="I26" s="13">
        <f>IF(nCMS_Lev&gt;=1,(B*C_mem*(topK*LRD+D)+B*(CMS_E1*(1-(1-topK/CMS_E1)^C_mem))*LRD*D)*ELEM_BYTES,0)</f>
        <v>1614807040</v>
      </c>
      <c r="J26" s="13">
        <f>IF(nCMS_Lev&gt;=1,B*C_mem*D*ELEM_BYTES,0)</f>
        <v>536870912</v>
      </c>
      <c r="K26" s="13">
        <f t="shared" si="7"/>
        <v>2151677952</v>
      </c>
      <c r="L26" s="15">
        <f t="shared" si="8"/>
        <v>32.1871345</v>
      </c>
      <c r="M26" s="16">
        <f>K26/HBM_BW*1000</f>
        <v>0.2907672908</v>
      </c>
      <c r="N26" s="16">
        <f>H26/FLOPS*1000</f>
        <v>0.015010045</v>
      </c>
      <c r="O26" s="16">
        <f t="shared" si="13"/>
        <v>0.2907672908</v>
      </c>
      <c r="P26" s="17" t="str">
        <f>IF(nCMS_Lev&gt;=1,IF(N26&gt;=M26,"compute","memory_bw"),"inactive")</f>
        <v>memory_bw</v>
      </c>
    </row>
    <row r="27" ht="22.5" customHeight="1">
      <c r="B27" s="3" t="s">
        <v>78</v>
      </c>
      <c r="C27" s="28" t="s">
        <v>93</v>
      </c>
      <c r="D27" s="13">
        <f>IF(nCMS_Lev&gt;=2,B*C_mem*D,0)</f>
        <v>536870912</v>
      </c>
      <c r="E27" s="13">
        <f>IF(nCMS_Lev&gt;=2,D*CMS_E2,0)</f>
        <v>1048576</v>
      </c>
      <c r="F27" s="14" t="s">
        <v>88</v>
      </c>
      <c r="G27" s="13">
        <f>IF(nCMS_Lev&gt;=2,B*C_mem*topK,0)</f>
        <v>65536</v>
      </c>
      <c r="H27" s="13">
        <f>IF(nCMS_Lev&gt;=2,2*B*C_mem*D*CMS_E2,0)</f>
        <v>137438953472</v>
      </c>
      <c r="I27" s="13">
        <f>IF(nCMS_Lev&gt;=2,(B*C_mem*D+D*CMS_E2)*ELEM_BYTES,0)</f>
        <v>537919488</v>
      </c>
      <c r="J27" s="13">
        <f>IF(nCMS_Lev&gt;=2,B*C_mem*topK*(ELEM_BYTES+4),0)</f>
        <v>327680</v>
      </c>
      <c r="K27" s="13">
        <f t="shared" si="7"/>
        <v>538247168</v>
      </c>
      <c r="L27" s="15">
        <f t="shared" si="8"/>
        <v>255.345428</v>
      </c>
      <c r="M27" s="16">
        <f>K27/HBM_BW*1000</f>
        <v>0.07273610378</v>
      </c>
      <c r="N27" s="16">
        <f>H27/FLOPS*1000</f>
        <v>0.02978737613</v>
      </c>
      <c r="O27" s="16">
        <f t="shared" si="13"/>
        <v>0.07273610378</v>
      </c>
      <c r="P27" s="17" t="str">
        <f>IF(nCMS_Lev&gt;=2,IF(N27&gt;=M27,"compute","memory_bw"),"inactive")</f>
        <v>memory_bw</v>
      </c>
    </row>
    <row r="28" ht="22.5" customHeight="1">
      <c r="B28" s="3" t="s">
        <v>78</v>
      </c>
      <c r="C28" s="28" t="s">
        <v>94</v>
      </c>
      <c r="D28" s="13">
        <f>IF(nCMS_Lev&gt;=2,B*C_mem*topK*D,0)</f>
        <v>536870912</v>
      </c>
      <c r="E28" s="13">
        <f>IF(nCMS_Lev&gt;=2,B*(CMS_E2*(1-(1-topK/CMS_E2)^C_mem))*D*LRD,0)</f>
        <v>2147483421</v>
      </c>
      <c r="F28" s="14" t="s">
        <v>90</v>
      </c>
      <c r="G28" s="13">
        <f>IF(nCMS_Lev&gt;=2,B*C_mem*topK*LRD,0)</f>
        <v>4194304</v>
      </c>
      <c r="H28" s="13">
        <f>IF(nCMS_Lev&gt;=2,2*B*C_mem*topK*D*LRD,0)</f>
        <v>68719476736</v>
      </c>
      <c r="I28" s="13">
        <f>IF(nCMS_Lev&gt;=2,(B*C_mem*topK*D+B*(CMS_E2*(1-(1-topK/CMS_E2)^C_mem))*D*LRD)*ELEM_BYTES,0)</f>
        <v>2684354333</v>
      </c>
      <c r="J28" s="13">
        <f>IF(nCMS_Lev&gt;=2,B*C_mem*topK*LRD*ELEM_BYTES,0)</f>
        <v>4194304</v>
      </c>
      <c r="K28" s="13">
        <f t="shared" si="7"/>
        <v>2688548637</v>
      </c>
      <c r="L28" s="15">
        <f t="shared" si="8"/>
        <v>25.56006456</v>
      </c>
      <c r="M28" s="16">
        <f>K28/HBM_BW*1000</f>
        <v>0.3633173834</v>
      </c>
      <c r="N28" s="16">
        <f>H28/FLOPS*1000</f>
        <v>0.01489368807</v>
      </c>
      <c r="O28" s="16">
        <f t="shared" si="13"/>
        <v>0.3633173834</v>
      </c>
      <c r="P28" s="17" t="str">
        <f>IF(nCMS_Lev&gt;=2,IF(N28&gt;=M28,"compute","memory_bw"),"inactive")</f>
        <v>memory_bw</v>
      </c>
    </row>
    <row r="29" ht="22.5" customHeight="1">
      <c r="B29" s="1" t="s">
        <v>78</v>
      </c>
      <c r="C29" s="28" t="s">
        <v>95</v>
      </c>
      <c r="D29" s="13">
        <f>IF(nCMS_Lev&gt;=2,B*C_mem*(topK*LRD+D),0)</f>
        <v>541065216</v>
      </c>
      <c r="E29" s="13">
        <f>IF(nCMS_Lev&gt;=2,B*(CMS_E2*(1-(1-topK/CMS_E2)^C_mem))*LRD*D,0)</f>
        <v>2147483421</v>
      </c>
      <c r="F29" s="14" t="s">
        <v>92</v>
      </c>
      <c r="G29" s="13">
        <f>IF(nCMS_Lev&gt;=2,B*C_mem*D,0)</f>
        <v>536870912</v>
      </c>
      <c r="H29" s="13">
        <f>IF(nCMS_Lev&gt;=2,2*B*C_mem*topK*LRD*D+B*C_mem*D,0)</f>
        <v>69256347648</v>
      </c>
      <c r="I29" s="13">
        <f>IF(nCMS_Lev&gt;=2,(B*C_mem*(topK*LRD+D)+B*(CMS_E2*(1-(1-topK/CMS_E2)^C_mem))*LRD*D)*ELEM_BYTES,0)</f>
        <v>2688548637</v>
      </c>
      <c r="J29" s="13">
        <f>IF(nCMS_Lev&gt;=2,B*C_mem*D*ELEM_BYTES,0)</f>
        <v>536870912</v>
      </c>
      <c r="K29" s="13">
        <f t="shared" si="7"/>
        <v>3225419549</v>
      </c>
      <c r="L29" s="15">
        <f t="shared" si="8"/>
        <v>21.47204312</v>
      </c>
      <c r="M29" s="16">
        <f>K29/HBM_BW*1000</f>
        <v>0.4358675066</v>
      </c>
      <c r="N29" s="16">
        <f>H29/FLOPS*1000</f>
        <v>0.015010045</v>
      </c>
      <c r="O29" s="16">
        <f t="shared" si="13"/>
        <v>0.4358675066</v>
      </c>
      <c r="P29" s="17" t="str">
        <f>IF(nCMS_Lev&gt;=2,IF(N29&gt;=M29,"compute","memory_bw"),"inactive")</f>
        <v>memory_bw</v>
      </c>
    </row>
    <row r="30" ht="22.5" customHeight="1">
      <c r="B30" s="3" t="s">
        <v>78</v>
      </c>
      <c r="C30" s="28" t="s">
        <v>96</v>
      </c>
      <c r="D30" s="13">
        <f>IF(nCMS_Lev&gt;=3,B*C_mem*D,0)</f>
        <v>536870912</v>
      </c>
      <c r="E30" s="13">
        <f>IF(nCMS_Lev&gt;=3,D*CMS_E3,0)</f>
        <v>2097152</v>
      </c>
      <c r="F30" s="14" t="s">
        <v>88</v>
      </c>
      <c r="G30" s="13">
        <f>IF(nCMS_Lev&gt;=3,B*C_mem*topK,0)</f>
        <v>65536</v>
      </c>
      <c r="H30" s="13">
        <f>IF(nCMS_Lev&gt;=3,2*B*C_mem*D*CMS_E3,0)</f>
        <v>274877906944</v>
      </c>
      <c r="I30" s="13">
        <f>IF(nCMS_Lev&gt;=3,(B*C_mem*D+D*CMS_E3)*ELEM_BYTES,0)</f>
        <v>538968064</v>
      </c>
      <c r="J30" s="13">
        <f>IF(nCMS_Lev&gt;=3,B*C_mem*topK*(ELEM_BYTES+4),0)</f>
        <v>327680</v>
      </c>
      <c r="K30" s="13">
        <f t="shared" si="7"/>
        <v>539295744</v>
      </c>
      <c r="L30" s="15">
        <f t="shared" si="8"/>
        <v>509.6978977</v>
      </c>
      <c r="M30" s="16">
        <f>K30/HBM_BW*1000</f>
        <v>0.07287780324</v>
      </c>
      <c r="N30" s="16">
        <f>H30/FLOPS*1000</f>
        <v>0.05957475226</v>
      </c>
      <c r="O30" s="16">
        <f t="shared" si="13"/>
        <v>0.07287780324</v>
      </c>
      <c r="P30" s="17" t="str">
        <f>IF(nCMS_Lev&gt;=3,IF(N30&gt;=M30,"compute","memory_bw"),"inactive")</f>
        <v>memory_bw</v>
      </c>
    </row>
    <row r="31" ht="22.5" customHeight="1">
      <c r="B31" s="3" t="s">
        <v>78</v>
      </c>
      <c r="C31" s="28" t="s">
        <v>97</v>
      </c>
      <c r="D31" s="13">
        <f>IF(nCMS_Lev&gt;=3,B*C_mem*topK*D,0)</f>
        <v>536870912</v>
      </c>
      <c r="E31" s="13">
        <f>IF(nCMS_Lev&gt;=3,B*(CMS_E3*(1-(1-topK/CMS_E3)^C_mem))*D*LRD,0)</f>
        <v>4293548890</v>
      </c>
      <c r="F31" s="14" t="s">
        <v>90</v>
      </c>
      <c r="G31" s="13">
        <f>IF(nCMS_Lev&gt;=3,B*C_mem*topK*LRD,0)</f>
        <v>4194304</v>
      </c>
      <c r="H31" s="13">
        <f>IF(nCMS_Lev&gt;=3,2*B*C_mem*topK*D*LRD,0)</f>
        <v>68719476736</v>
      </c>
      <c r="I31" s="13">
        <f>IF(nCMS_Lev&gt;=3,(B*C_mem*topK*D+B*(CMS_E3*(1-(1-topK/CMS_E3)^C_mem))*D*LRD)*ELEM_BYTES,0)</f>
        <v>4830419802</v>
      </c>
      <c r="J31" s="13">
        <f>IF(nCMS_Lev&gt;=3,B*C_mem*topK*LRD*ELEM_BYTES,0)</f>
        <v>4194304</v>
      </c>
      <c r="K31" s="13">
        <f t="shared" si="7"/>
        <v>4834614106</v>
      </c>
      <c r="L31" s="15">
        <f t="shared" si="8"/>
        <v>14.21405623</v>
      </c>
      <c r="M31" s="16">
        <f>K31/HBM_BW*1000</f>
        <v>0.6533262306</v>
      </c>
      <c r="N31" s="16">
        <f>H31/FLOPS*1000</f>
        <v>0.01489368807</v>
      </c>
      <c r="O31" s="16">
        <f t="shared" si="13"/>
        <v>0.6533262306</v>
      </c>
      <c r="P31" s="17" t="str">
        <f>IF(nCMS_Lev&gt;=3,IF(N31&gt;=M31,"compute","memory_bw"),"inactive")</f>
        <v>memory_bw</v>
      </c>
    </row>
    <row r="32" ht="22.5" customHeight="1">
      <c r="B32" s="3" t="s">
        <v>78</v>
      </c>
      <c r="C32" s="28" t="s">
        <v>98</v>
      </c>
      <c r="D32" s="13">
        <f>IF(nCMS_Lev&gt;=3,B*C_mem*(topK*LRD+D),0)</f>
        <v>541065216</v>
      </c>
      <c r="E32" s="13">
        <f>IF(nCMS_Lev&gt;=3,B*(CMS_E3*(1-(1-topK/CMS_E3)^C_mem))*LRD*D,0)</f>
        <v>4293548890</v>
      </c>
      <c r="F32" s="14" t="s">
        <v>92</v>
      </c>
      <c r="G32" s="13">
        <f>IF(nCMS_Lev&gt;=3,B*C_mem*D,0)</f>
        <v>536870912</v>
      </c>
      <c r="H32" s="13">
        <f>IF(nCMS_Lev&gt;=3,2*B*C_mem*topK*LRD*D+B*C_mem*D,0)</f>
        <v>69256347648</v>
      </c>
      <c r="I32" s="13">
        <f>IF(nCMS_Lev&gt;=3,(B*C_mem*(topK*LRD+D)+B*(CMS_E3*(1-(1-topK/CMS_E3)^C_mem))*LRD*D)*ELEM_BYTES,0)</f>
        <v>4834614106</v>
      </c>
      <c r="J32" s="13">
        <f>IF(nCMS_Lev&gt;=3,B*C_mem*D*ELEM_BYTES,0)</f>
        <v>536870912</v>
      </c>
      <c r="K32" s="13">
        <f t="shared" si="7"/>
        <v>5371485018</v>
      </c>
      <c r="L32" s="15">
        <f t="shared" si="8"/>
        <v>12.89333348</v>
      </c>
      <c r="M32" s="16">
        <f>K32/HBM_BW*1000</f>
        <v>0.7258763538</v>
      </c>
      <c r="N32" s="16">
        <f>H32/FLOPS*1000</f>
        <v>0.015010045</v>
      </c>
      <c r="O32" s="16">
        <f t="shared" si="13"/>
        <v>0.7258763538</v>
      </c>
      <c r="P32" s="17" t="str">
        <f>IF(nCMS_Lev&gt;=3,IF(N32&gt;=M32,"compute","memory_bw"),"inactive")</f>
        <v>memory_bw</v>
      </c>
    </row>
    <row r="33" ht="22.5" customHeight="1">
      <c r="B33" s="37" t="s">
        <v>83</v>
      </c>
      <c r="C33" s="30" t="s">
        <v>99</v>
      </c>
      <c r="D33" s="31"/>
      <c r="E33" s="31"/>
      <c r="F33" s="32" t="s">
        <v>85</v>
      </c>
      <c r="G33" s="31"/>
      <c r="H33" s="31">
        <f t="shared" ref="H33:J33" si="14">SUM(H24:H32)</f>
        <v>894963810304</v>
      </c>
      <c r="I33" s="31">
        <f t="shared" si="14"/>
        <v>19877639407</v>
      </c>
      <c r="J33" s="31">
        <f t="shared" si="14"/>
        <v>1624178688</v>
      </c>
      <c r="K33" s="31">
        <f t="shared" si="7"/>
        <v>21501818095</v>
      </c>
      <c r="L33" s="33">
        <f t="shared" si="8"/>
        <v>41.62270401</v>
      </c>
      <c r="M33" s="34">
        <f t="shared" ref="M33:O33" si="15">SUM(M24:M32)</f>
        <v>2.905651094</v>
      </c>
      <c r="N33" s="34">
        <f t="shared" si="15"/>
        <v>0.1939670157</v>
      </c>
      <c r="O33" s="34">
        <f t="shared" si="15"/>
        <v>2.905651094</v>
      </c>
      <c r="P33" s="17" t="str">
        <f>IF(nCMS_Lev&gt;=1,IF(N33&gt;=M33,"compute","memory_bw"),"inactive")</f>
        <v>memory_bw</v>
      </c>
    </row>
    <row r="34" ht="22.5" customHeight="1">
      <c r="B34" s="37" t="s">
        <v>100</v>
      </c>
      <c r="C34" s="30" t="s">
        <v>101</v>
      </c>
      <c r="D34" s="31"/>
      <c r="E34" s="31"/>
      <c r="F34" s="32" t="s">
        <v>102</v>
      </c>
      <c r="G34" s="31"/>
      <c r="H34" s="31">
        <f t="shared" ref="H34:J34" si="16">H23+H33</f>
        <v>27292906553344</v>
      </c>
      <c r="I34" s="31">
        <f t="shared" si="16"/>
        <v>26387231983</v>
      </c>
      <c r="J34" s="31">
        <f t="shared" si="16"/>
        <v>3234791424</v>
      </c>
      <c r="K34" s="31">
        <f t="shared" si="7"/>
        <v>29622023407</v>
      </c>
      <c r="L34" s="33">
        <f t="shared" si="8"/>
        <v>921.3721216</v>
      </c>
      <c r="M34" s="34">
        <f t="shared" ref="M34:O34" si="17">M23+M33</f>
        <v>4.002976136</v>
      </c>
      <c r="N34" s="34">
        <f t="shared" si="17"/>
        <v>5.915237658</v>
      </c>
      <c r="O34" s="34">
        <f t="shared" si="17"/>
        <v>8.626921736</v>
      </c>
      <c r="P34" s="17" t="str">
        <f t="shared" ref="P34:P46" si="18">IF(N34&gt;=M34,"compute","memory_bw")</f>
        <v>compute</v>
      </c>
    </row>
    <row r="35" ht="22.5" customHeight="1">
      <c r="B35" s="3" t="s">
        <v>103</v>
      </c>
      <c r="C35" s="28" t="s">
        <v>104</v>
      </c>
      <c r="D35" s="13">
        <f>B*Chunk*D</f>
        <v>536870912</v>
      </c>
      <c r="E35" s="13">
        <f>B*nAux*D*MEM_HIDDEN</f>
        <v>8589934592</v>
      </c>
      <c r="F35" s="14" t="s">
        <v>105</v>
      </c>
      <c r="G35" s="13">
        <f>B*Chunk*nAux*MEM_HIDDEN</f>
        <v>2147483648</v>
      </c>
      <c r="H35" s="13">
        <f>2*B*Chunk*nAux*D*MEM_HIDDEN+4*B*Chunk*nAux*MEM_HIDDEN</f>
        <v>35192962023424</v>
      </c>
      <c r="I35" s="13">
        <f>(B*Chunk*D+B*nAux*D*MEM_HIDDEN)*ELEM_BYTES</f>
        <v>9126805504</v>
      </c>
      <c r="J35" s="13">
        <f>B*Chunk*nAux*MEM_HIDDEN*ELEM_BYTES</f>
        <v>2147483648</v>
      </c>
      <c r="K35" s="13">
        <f t="shared" si="7"/>
        <v>11274289152</v>
      </c>
      <c r="L35" s="15">
        <f t="shared" si="8"/>
        <v>3121.52381</v>
      </c>
      <c r="M35" s="16">
        <f>K35/HBM_BW*1000</f>
        <v>1.523552588</v>
      </c>
      <c r="N35" s="16">
        <f>H35/FLOPS*1000</f>
        <v>7.627430001</v>
      </c>
      <c r="O35" s="16">
        <f t="shared" ref="O35:O39" si="19">MAX(M35,N35)</f>
        <v>7.627430001</v>
      </c>
      <c r="P35" s="17" t="str">
        <f t="shared" si="18"/>
        <v>compute</v>
      </c>
    </row>
    <row r="36" ht="22.5" customHeight="1">
      <c r="B36" s="3" t="s">
        <v>78</v>
      </c>
      <c r="C36" s="28" t="s">
        <v>106</v>
      </c>
      <c r="D36" s="13">
        <f>B*Chunk*(nAux*MEM_HIDDEN+D)</f>
        <v>2684354560</v>
      </c>
      <c r="E36" s="13">
        <f>B*nAux*MEM_HIDDEN*D</f>
        <v>8589934592</v>
      </c>
      <c r="F36" s="14" t="s">
        <v>107</v>
      </c>
      <c r="G36" s="13">
        <f>B*Chunk*nAux*D</f>
        <v>2147483648</v>
      </c>
      <c r="H36" s="13">
        <f>2*B*Chunk*nAux*MEM_HIDDEN*D+B*Chunk*nAux*D+5*B*Chunk*D</f>
        <v>35189203927040</v>
      </c>
      <c r="I36" s="13">
        <f>(B*Chunk*(nAux*MEM_HIDDEN+D)+B*nAux*MEM_HIDDEN*D)*ELEM_BYTES</f>
        <v>11274289152</v>
      </c>
      <c r="J36" s="13">
        <f>B*Chunk*nAux*D*ELEM_BYTES</f>
        <v>2147483648</v>
      </c>
      <c r="K36" s="13">
        <f t="shared" si="7"/>
        <v>13421772800</v>
      </c>
      <c r="L36" s="15">
        <f t="shared" si="8"/>
        <v>2621.8</v>
      </c>
      <c r="M36" s="16">
        <f>K36/HBM_BW*1000</f>
        <v>1.813753081</v>
      </c>
      <c r="N36" s="16">
        <f>H36/FLOPS*1000</f>
        <v>7.626615502</v>
      </c>
      <c r="O36" s="16">
        <f t="shared" si="19"/>
        <v>7.626615502</v>
      </c>
      <c r="P36" s="17" t="str">
        <f t="shared" si="18"/>
        <v>compute</v>
      </c>
    </row>
    <row r="37" ht="22.5" customHeight="1">
      <c r="B37" s="35" t="s">
        <v>108</v>
      </c>
      <c r="C37" s="36" t="s">
        <v>109</v>
      </c>
      <c r="D37" s="13">
        <f>2*B*Chunk*D</f>
        <v>1073741824</v>
      </c>
      <c r="E37" s="13">
        <f>B*nMutable*D*MEM_HIDDEN</f>
        <v>10737418240</v>
      </c>
      <c r="F37" s="14" t="s">
        <v>110</v>
      </c>
      <c r="G37" s="13">
        <f>2*B*Chunk*nMutable*MEM_HIDDEN</f>
        <v>5368709120</v>
      </c>
      <c r="H37" s="13">
        <f>4*B*Chunk*nMutable*D*MEM_HIDDEN+8*B*Chunk*nMutable*MEM_HIDDEN</f>
        <v>87982405058560</v>
      </c>
      <c r="I37" s="13">
        <f>(2*B*Chunk*D+B*nMutable*D*MEM_HIDDEN)*ELEM_BYTES</f>
        <v>11811160064</v>
      </c>
      <c r="J37" s="13">
        <f>2*B*Chunk*nMutable*MEM_HIDDEN*ELEM_BYTES</f>
        <v>5368709120</v>
      </c>
      <c r="K37" s="13">
        <f t="shared" si="7"/>
        <v>17179869184</v>
      </c>
      <c r="L37" s="15">
        <f t="shared" si="8"/>
        <v>5121.25</v>
      </c>
      <c r="M37" s="16">
        <f>K37/HBM_BW*1000</f>
        <v>2.321603944</v>
      </c>
      <c r="N37" s="16">
        <f>H37/FLOPS*1000</f>
        <v>19.068575</v>
      </c>
      <c r="O37" s="16">
        <f t="shared" si="19"/>
        <v>19.068575</v>
      </c>
      <c r="P37" s="17" t="str">
        <f t="shared" si="18"/>
        <v>compute</v>
      </c>
    </row>
    <row r="38" ht="22.5" customHeight="1">
      <c r="B38" s="3" t="s">
        <v>78</v>
      </c>
      <c r="C38" s="28" t="s">
        <v>111</v>
      </c>
      <c r="D38" s="13">
        <f>2*B*Chunk*(nMutable*MEM_HIDDEN+D)</f>
        <v>6442450944</v>
      </c>
      <c r="E38" s="13">
        <f>B*nMutable*MEM_HIDDEN*D</f>
        <v>10737418240</v>
      </c>
      <c r="F38" s="14" t="s">
        <v>110</v>
      </c>
      <c r="G38" s="13">
        <f>2*B*Chunk*nMutable*D</f>
        <v>5368709120</v>
      </c>
      <c r="H38" s="13">
        <f>4*B*Chunk*nMutable*MEM_HIDDEN*D+2*B*Chunk*nMutable*D</f>
        <v>87966298931200</v>
      </c>
      <c r="I38" s="13">
        <f>(2*B*Chunk*(nMutable*MEM_HIDDEN+D)+B*nMutable*MEM_HIDDEN*D)*ELEM_BYTES</f>
        <v>17179869184</v>
      </c>
      <c r="J38" s="13">
        <f>2*B*Chunk*nMutable*D*ELEM_BYTES</f>
        <v>5368709120</v>
      </c>
      <c r="K38" s="13">
        <f t="shared" si="7"/>
        <v>22548578304</v>
      </c>
      <c r="L38" s="15">
        <f t="shared" si="8"/>
        <v>3901.190476</v>
      </c>
      <c r="M38" s="16">
        <f>K38/HBM_BW*1000</f>
        <v>3.047105176</v>
      </c>
      <c r="N38" s="16">
        <f>H38/FLOPS*1000</f>
        <v>19.06508429</v>
      </c>
      <c r="O38" s="16">
        <f t="shared" si="19"/>
        <v>19.06508429</v>
      </c>
      <c r="P38" s="17" t="str">
        <f t="shared" si="18"/>
        <v>compute</v>
      </c>
    </row>
    <row r="39" ht="22.5" customHeight="1">
      <c r="B39" s="3" t="s">
        <v>78</v>
      </c>
      <c r="C39" s="28" t="s">
        <v>112</v>
      </c>
      <c r="D39" s="13">
        <f>2*B*Chunk*nMutable*D</f>
        <v>5368709120</v>
      </c>
      <c r="E39" s="13">
        <f>0</f>
        <v>0</v>
      </c>
      <c r="F39" s="14" t="s">
        <v>113</v>
      </c>
      <c r="G39" s="13">
        <f>B*Chunk*nMutable*D</f>
        <v>2684354560</v>
      </c>
      <c r="H39" s="13">
        <f>3*B*Chunk*nMutable*D</f>
        <v>8053063680</v>
      </c>
      <c r="I39" s="13">
        <f>2*B*Chunk*nMutable*D*ELEM_BYTES</f>
        <v>5368709120</v>
      </c>
      <c r="J39" s="13">
        <f>B*Chunk*nMutable*D*ELEM_BYTES</f>
        <v>2684354560</v>
      </c>
      <c r="K39" s="13">
        <f t="shared" si="7"/>
        <v>8053063680</v>
      </c>
      <c r="L39" s="15">
        <f t="shared" si="8"/>
        <v>1</v>
      </c>
      <c r="M39" s="16">
        <f>K39/HBM_BW*1000</f>
        <v>1.088251849</v>
      </c>
      <c r="N39" s="16">
        <f>H39/FLOPS*1000</f>
        <v>0.00174535407</v>
      </c>
      <c r="O39" s="16">
        <f t="shared" si="19"/>
        <v>1.088251849</v>
      </c>
      <c r="P39" s="17" t="str">
        <f t="shared" si="18"/>
        <v>memory_bw</v>
      </c>
    </row>
    <row r="40" ht="22.5" customHeight="1">
      <c r="B40" s="37" t="s">
        <v>83</v>
      </c>
      <c r="C40" s="30" t="s">
        <v>114</v>
      </c>
      <c r="D40" s="31"/>
      <c r="E40" s="31"/>
      <c r="F40" s="32" t="s">
        <v>85</v>
      </c>
      <c r="G40" s="31"/>
      <c r="H40" s="31">
        <f t="shared" ref="H40:J40" si="20">SUM(H35:H39)</f>
        <v>246338923003904</v>
      </c>
      <c r="I40" s="31">
        <f t="shared" si="20"/>
        <v>54760833024</v>
      </c>
      <c r="J40" s="31">
        <f t="shared" si="20"/>
        <v>17716740096</v>
      </c>
      <c r="K40" s="31">
        <f t="shared" si="7"/>
        <v>72477573120</v>
      </c>
      <c r="L40" s="33">
        <f t="shared" si="8"/>
        <v>3398.82963</v>
      </c>
      <c r="M40" s="34">
        <f t="shared" ref="M40:O40" si="21">SUM(M35:M39)</f>
        <v>9.794266638</v>
      </c>
      <c r="N40" s="34">
        <f t="shared" si="21"/>
        <v>53.38945015</v>
      </c>
      <c r="O40" s="34">
        <f t="shared" si="21"/>
        <v>54.47595665</v>
      </c>
      <c r="P40" s="17" t="str">
        <f t="shared" si="18"/>
        <v>compute</v>
      </c>
    </row>
    <row r="41" ht="22.5" customHeight="1">
      <c r="B41" s="35" t="s">
        <v>115</v>
      </c>
      <c r="C41" s="36" t="s">
        <v>116</v>
      </c>
      <c r="D41" s="13">
        <f>B*Chunk*nMutable*(D+MEM_HIDDEN)</f>
        <v>5368709120</v>
      </c>
      <c r="E41" s="13">
        <f>B*nMutable*MEM_HIDDEN*D</f>
        <v>10737418240</v>
      </c>
      <c r="F41" s="14" t="s">
        <v>117</v>
      </c>
      <c r="G41" s="13">
        <f>B*Chunk*nMutable*MEM_HIDDEN+B*nMutable*MEM_HIDDEN*D</f>
        <v>13421772800</v>
      </c>
      <c r="H41" s="13">
        <f>4*B*Chunk*nMutable*D*MEM_HIDDEN+3*B*Chunk*nMutable*MEM_HIDDEN</f>
        <v>87968983285760</v>
      </c>
      <c r="I41" s="13">
        <f>(B*Chunk*nMutable*(D+MEM_HIDDEN)+B*nMutable*MEM_HIDDEN*D)*ELEM_BYTES</f>
        <v>16106127360</v>
      </c>
      <c r="J41" s="13">
        <f>(B*Chunk*nMutable*MEM_HIDDEN+B*nMutable*MEM_HIDDEN*D)*ELEM_BYTES</f>
        <v>13421772800</v>
      </c>
      <c r="K41" s="13">
        <f t="shared" si="7"/>
        <v>29527900160</v>
      </c>
      <c r="L41" s="15">
        <f t="shared" si="8"/>
        <v>2979.181818</v>
      </c>
      <c r="M41" s="16">
        <f>K41/HBM_BW*1000</f>
        <v>3.990256778</v>
      </c>
      <c r="N41" s="16">
        <f>H41/FLOPS*1000</f>
        <v>19.06566608</v>
      </c>
      <c r="O41" s="16">
        <f t="shared" ref="O41:O44" si="22">MAX(M41,N41)</f>
        <v>19.06566608</v>
      </c>
      <c r="P41" s="17" t="str">
        <f t="shared" si="18"/>
        <v>compute</v>
      </c>
    </row>
    <row r="42" ht="22.5" customHeight="1">
      <c r="B42" s="3" t="s">
        <v>78</v>
      </c>
      <c r="C42" s="28" t="s">
        <v>118</v>
      </c>
      <c r="D42" s="13">
        <f>B*Chunk*(D+nMutable*MEM_HIDDEN)</f>
        <v>3221225472</v>
      </c>
      <c r="E42" s="13">
        <f>0</f>
        <v>0</v>
      </c>
      <c r="F42" s="14" t="s">
        <v>119</v>
      </c>
      <c r="G42" s="13">
        <f>B*nMutable*D*MEM_HIDDEN</f>
        <v>10737418240</v>
      </c>
      <c r="H42" s="13">
        <f>2*B*Chunk*nMutable*D*MEM_HIDDEN</f>
        <v>43980465111040</v>
      </c>
      <c r="I42" s="13">
        <f>B*Chunk*(D+nMutable*MEM_HIDDEN)*ELEM_BYTES</f>
        <v>3221225472</v>
      </c>
      <c r="J42" s="13">
        <f>B*nMutable*D*MEM_HIDDEN*ELEM_BYTES</f>
        <v>10737418240</v>
      </c>
      <c r="K42" s="13">
        <f t="shared" si="7"/>
        <v>13958643712</v>
      </c>
      <c r="L42" s="15">
        <f t="shared" si="8"/>
        <v>3150.769231</v>
      </c>
      <c r="M42" s="16">
        <f>K42/HBM_BW*1000</f>
        <v>1.886303204</v>
      </c>
      <c r="N42" s="16">
        <f>H42/FLOPS*1000</f>
        <v>9.531960362</v>
      </c>
      <c r="O42" s="16">
        <f t="shared" si="22"/>
        <v>9.531960362</v>
      </c>
      <c r="P42" s="17" t="str">
        <f t="shared" si="18"/>
        <v>compute</v>
      </c>
    </row>
    <row r="43" ht="22.5" customHeight="1">
      <c r="B43" s="3" t="s">
        <v>120</v>
      </c>
      <c r="C43" s="28" t="s">
        <v>121</v>
      </c>
      <c r="D43" s="13">
        <f>B*Chunk*(D+nMutable*MEM_HIDDEN)</f>
        <v>3221225472</v>
      </c>
      <c r="E43" s="13">
        <f>2*B*nMutable*D*MEM_HIDDEN</f>
        <v>21474836480</v>
      </c>
      <c r="F43" s="14" t="s">
        <v>122</v>
      </c>
      <c r="G43" s="13">
        <f>B*nMutable*D*MEM_HIDDEN</f>
        <v>10737418240</v>
      </c>
      <c r="H43" s="13">
        <f>2*B*Chunk*nMutable*D*MEM_HIDDEN+2*B*nMutable*D*MEM_HIDDEN</f>
        <v>44001939947520</v>
      </c>
      <c r="I43" s="13">
        <f>(B*Chunk*(D+nMutable*MEM_HIDDEN)+2*B*nMutable*D*MEM_HIDDEN)*ELEM_BYTES</f>
        <v>24696061952</v>
      </c>
      <c r="J43" s="13">
        <f>B*nMutable*D*MEM_HIDDEN*ELEM_BYTES</f>
        <v>10737418240</v>
      </c>
      <c r="K43" s="13">
        <f t="shared" si="7"/>
        <v>35433480192</v>
      </c>
      <c r="L43" s="15">
        <f t="shared" si="8"/>
        <v>1241.818182</v>
      </c>
      <c r="M43" s="16">
        <f>K43/HBM_BW*1000</f>
        <v>4.788308134</v>
      </c>
      <c r="N43" s="16">
        <f>H43/FLOPS*1000</f>
        <v>9.53661464</v>
      </c>
      <c r="O43" s="16">
        <f t="shared" si="22"/>
        <v>9.53661464</v>
      </c>
      <c r="P43" s="17" t="str">
        <f t="shared" si="18"/>
        <v>compute</v>
      </c>
    </row>
    <row r="44" ht="22.5" customHeight="1">
      <c r="B44" s="3" t="s">
        <v>78</v>
      </c>
      <c r="C44" s="28" t="s">
        <v>123</v>
      </c>
      <c r="D44" s="13">
        <f>B*nMutable*D*MEM_HIDDEN</f>
        <v>10737418240</v>
      </c>
      <c r="E44" s="13">
        <f>B*nMutable*D*MEM_HIDDEN</f>
        <v>10737418240</v>
      </c>
      <c r="F44" s="14" t="s">
        <v>124</v>
      </c>
      <c r="G44" s="13">
        <f>B*nMutable*D*MEM_HIDDEN</f>
        <v>10737418240</v>
      </c>
      <c r="H44" s="13">
        <f>2*B*nMutable*D*MEM_HIDDEN</f>
        <v>21474836480</v>
      </c>
      <c r="I44" s="13">
        <f>2*B*nMutable*D*MEM_HIDDEN*ELEM_BYTES</f>
        <v>21474836480</v>
      </c>
      <c r="J44" s="13">
        <f>B*nMutable*D*MEM_HIDDEN*ELEM_BYTES</f>
        <v>10737418240</v>
      </c>
      <c r="K44" s="13">
        <f t="shared" si="7"/>
        <v>32212254720</v>
      </c>
      <c r="L44" s="15">
        <f t="shared" si="8"/>
        <v>0.6666666667</v>
      </c>
      <c r="M44" s="16">
        <f>K44/HBM_BW*1000</f>
        <v>4.353007395</v>
      </c>
      <c r="N44" s="16">
        <f>H44/FLOPS*1000</f>
        <v>0.004654277521</v>
      </c>
      <c r="O44" s="16">
        <f t="shared" si="22"/>
        <v>4.353007395</v>
      </c>
      <c r="P44" s="17" t="str">
        <f t="shared" si="18"/>
        <v>memory_bw</v>
      </c>
    </row>
    <row r="45" ht="22.5" customHeight="1">
      <c r="B45" s="37" t="s">
        <v>83</v>
      </c>
      <c r="C45" s="30" t="s">
        <v>125</v>
      </c>
      <c r="D45" s="31"/>
      <c r="E45" s="31"/>
      <c r="F45" s="32" t="s">
        <v>85</v>
      </c>
      <c r="G45" s="31"/>
      <c r="H45" s="31">
        <f t="shared" ref="H45:J45" si="23">SUM(H41:H44)</f>
        <v>175972863180800</v>
      </c>
      <c r="I45" s="31">
        <f t="shared" si="23"/>
        <v>65498251264</v>
      </c>
      <c r="J45" s="31">
        <f t="shared" si="23"/>
        <v>45634027520</v>
      </c>
      <c r="K45" s="31">
        <f t="shared" si="7"/>
        <v>111132278784</v>
      </c>
      <c r="L45" s="33">
        <f t="shared" si="8"/>
        <v>1583.454106</v>
      </c>
      <c r="M45" s="34">
        <f t="shared" ref="M45:O45" si="24">SUM(M41:M44)</f>
        <v>15.01787551</v>
      </c>
      <c r="N45" s="34">
        <f t="shared" si="24"/>
        <v>38.13889536</v>
      </c>
      <c r="O45" s="34">
        <f t="shared" si="24"/>
        <v>42.48724847</v>
      </c>
      <c r="P45" s="17" t="str">
        <f t="shared" si="18"/>
        <v>compute</v>
      </c>
    </row>
    <row r="46" ht="22.5" customHeight="1">
      <c r="B46" s="37" t="s">
        <v>126</v>
      </c>
      <c r="C46" s="30" t="s">
        <v>127</v>
      </c>
      <c r="D46" s="31"/>
      <c r="E46" s="31"/>
      <c r="F46" s="32" t="s">
        <v>128</v>
      </c>
      <c r="G46" s="31"/>
      <c r="H46" s="31">
        <f>H34*MEM_CHUNKS</f>
        <v>1.74675E+15</v>
      </c>
      <c r="I46" s="31">
        <f>I34*MEM_CHUNKS</f>
        <v>1688782846908</v>
      </c>
      <c r="J46" s="31">
        <f>J34*MEM_CHUNKS</f>
        <v>207026651136</v>
      </c>
      <c r="K46" s="31">
        <f t="shared" si="7"/>
        <v>1895809498044</v>
      </c>
      <c r="L46" s="33">
        <f t="shared" si="8"/>
        <v>921.3721216</v>
      </c>
      <c r="M46" s="34">
        <f>M34*MEM_CHUNKS</f>
        <v>256.1904727</v>
      </c>
      <c r="N46" s="34">
        <f>N34*MEM_CHUNKS</f>
        <v>378.5752101</v>
      </c>
      <c r="O46" s="34">
        <f>O34*MEM_CHUNKS</f>
        <v>552.1229911</v>
      </c>
      <c r="P46" s="17" t="str">
        <f t="shared" si="18"/>
        <v>compute</v>
      </c>
    </row>
    <row r="47" ht="22.5" customHeight="1">
      <c r="A47" s="19"/>
      <c r="B47" s="38" t="s">
        <v>129</v>
      </c>
      <c r="C47" s="39" t="s">
        <v>130</v>
      </c>
      <c r="D47" s="40"/>
      <c r="E47" s="40"/>
      <c r="F47" s="41" t="s">
        <v>131</v>
      </c>
      <c r="G47" s="40"/>
      <c r="H47" s="40">
        <f>(H40+H45)*HOPE_CHUNKS</f>
        <v>2.7028E+16</v>
      </c>
      <c r="I47" s="40">
        <f>(I40+I45)*HOPE_CHUNKS</f>
        <v>7696581394432</v>
      </c>
      <c r="J47" s="40">
        <f>(J40+J45)*HOPE_CHUNKS</f>
        <v>4054449127424</v>
      </c>
      <c r="K47" s="40">
        <f t="shared" si="7"/>
        <v>11751030521856</v>
      </c>
      <c r="L47" s="42">
        <f t="shared" si="8"/>
        <v>2300.049708</v>
      </c>
      <c r="M47" s="43">
        <f>(M40+M45)*HOPE_CHUNKS</f>
        <v>1587.977098</v>
      </c>
      <c r="N47" s="43">
        <f>(N40+N45)*HOPE_CHUNKS</f>
        <v>5857.814113</v>
      </c>
      <c r="O47" s="43">
        <f>(O40+O45)*HOPE_CHUNKS</f>
        <v>6205.645128</v>
      </c>
      <c r="P47" s="26" t="str">
        <f>IF(N47&gt;=M47,"compute-dominant","memory-dominant")</f>
        <v>compute-dominant</v>
      </c>
    </row>
    <row r="48" ht="22.5" customHeight="1">
      <c r="A48" s="44"/>
      <c r="B48" s="20" t="s">
        <v>132</v>
      </c>
      <c r="C48" s="21" t="s">
        <v>133</v>
      </c>
      <c r="D48" s="22"/>
      <c r="E48" s="22"/>
      <c r="F48" s="23" t="s">
        <v>102</v>
      </c>
      <c r="G48" s="22"/>
      <c r="H48" s="22">
        <f t="shared" ref="H48:J48" si="25">H46+H47</f>
        <v>2.87747E+16</v>
      </c>
      <c r="I48" s="22">
        <f t="shared" si="25"/>
        <v>9385364241340</v>
      </c>
      <c r="J48" s="22">
        <f t="shared" si="25"/>
        <v>4261475778560</v>
      </c>
      <c r="K48" s="22">
        <f t="shared" si="7"/>
        <v>13646840019900</v>
      </c>
      <c r="L48" s="24">
        <f t="shared" si="8"/>
        <v>2108.524779</v>
      </c>
      <c r="M48" s="25">
        <f t="shared" ref="M48:O48" si="26">M46+M47</f>
        <v>1844.16757</v>
      </c>
      <c r="N48" s="25">
        <f t="shared" si="26"/>
        <v>6236.389323</v>
      </c>
      <c r="O48" s="25">
        <f t="shared" si="26"/>
        <v>6757.768119</v>
      </c>
      <c r="P48" s="45"/>
    </row>
    <row r="49" ht="22.5" customHeight="1">
      <c r="A49" s="4" t="s">
        <v>134</v>
      </c>
      <c r="B49" s="5"/>
      <c r="C49" s="46"/>
      <c r="D49" s="47"/>
      <c r="E49" s="47"/>
      <c r="F49" s="48"/>
      <c r="G49" s="47"/>
      <c r="H49" s="47"/>
      <c r="I49" s="47"/>
      <c r="J49" s="47"/>
      <c r="K49" s="47"/>
      <c r="L49" s="49"/>
      <c r="M49" s="50"/>
      <c r="N49" s="50"/>
      <c r="O49" s="50"/>
      <c r="P49" s="51"/>
    </row>
    <row r="50" ht="22.5" customHeight="1">
      <c r="A50" s="6"/>
      <c r="B50" s="7" t="s">
        <v>39</v>
      </c>
      <c r="C50" s="6"/>
      <c r="D50" s="8" t="s">
        <v>40</v>
      </c>
      <c r="E50" s="8" t="s">
        <v>41</v>
      </c>
      <c r="F50" s="8" t="s">
        <v>42</v>
      </c>
      <c r="G50" s="8" t="s">
        <v>43</v>
      </c>
      <c r="H50" s="8" t="s">
        <v>44</v>
      </c>
      <c r="I50" s="8" t="s">
        <v>45</v>
      </c>
      <c r="J50" s="8" t="s">
        <v>46</v>
      </c>
      <c r="K50" s="8" t="s">
        <v>47</v>
      </c>
      <c r="L50" s="9" t="s">
        <v>48</v>
      </c>
      <c r="M50" s="10" t="s">
        <v>49</v>
      </c>
      <c r="N50" s="10" t="s">
        <v>50</v>
      </c>
      <c r="O50" s="10" t="s">
        <v>51</v>
      </c>
      <c r="P50" s="27" t="s">
        <v>52</v>
      </c>
    </row>
    <row r="51" ht="22.5" customHeight="1">
      <c r="B51" s="35" t="s">
        <v>78</v>
      </c>
      <c r="C51" s="12" t="s">
        <v>135</v>
      </c>
      <c r="D51" s="13">
        <f>B*D</f>
        <v>262144</v>
      </c>
      <c r="E51" s="13">
        <f>3*D^2</f>
        <v>201326592</v>
      </c>
      <c r="F51" s="14" t="s">
        <v>136</v>
      </c>
      <c r="G51" s="13">
        <f>3*B*D</f>
        <v>786432</v>
      </c>
      <c r="H51" s="13">
        <f>6*B*D^2+11*B*D</f>
        <v>12887785472</v>
      </c>
      <c r="I51" s="13">
        <f>(B*D+3*D^2+D)*ELEM_BYTES</f>
        <v>201596928</v>
      </c>
      <c r="J51" s="13">
        <f>3*B*D*ELEM_BYTES</f>
        <v>786432</v>
      </c>
      <c r="K51" s="13">
        <f t="shared" ref="K51:K59" si="27">I51+J51</f>
        <v>202383360</v>
      </c>
      <c r="L51" s="15">
        <f t="shared" ref="L51:L59" si="28">IFERROR(H51/K51,0)</f>
        <v>63.68006476</v>
      </c>
      <c r="M51" s="16">
        <f>K51/HBM_BW*1000</f>
        <v>0.0273491027</v>
      </c>
      <c r="N51" s="16">
        <f>H51/FLOPS*1000</f>
        <v>0.002793191476</v>
      </c>
      <c r="O51" s="16">
        <f t="shared" ref="O51:O58" si="29">MAX(M51,N51)</f>
        <v>0.0273491027</v>
      </c>
      <c r="P51" s="17" t="str">
        <f t="shared" ref="P51:P58" si="30">IF(N51&gt;=M51,"compute","memory_bw")</f>
        <v>memory_bw</v>
      </c>
    </row>
    <row r="52" ht="22.5" customHeight="1">
      <c r="B52" s="3" t="s">
        <v>56</v>
      </c>
      <c r="C52" s="28" t="s">
        <v>137</v>
      </c>
      <c r="D52" s="13">
        <f>B*D+2*B*ISL*D</f>
        <v>68719738880</v>
      </c>
      <c r="E52" s="13">
        <f>B*DECODE_SPLITS</f>
        <v>2048</v>
      </c>
      <c r="F52" s="14" t="s">
        <v>138</v>
      </c>
      <c r="G52" s="13">
        <f>B*DECODE_SPLITS*(D+D/head_dim)</f>
        <v>16908288</v>
      </c>
      <c r="H52" s="13">
        <f>4*B*ISL*D</f>
        <v>137438953472</v>
      </c>
      <c r="I52" s="13">
        <f>(B*D+2*B*ISL*D)*ELEM_BYTES</f>
        <v>68719738880</v>
      </c>
      <c r="J52" s="13">
        <f>PARTIAL_BYTES*B*DECODE_SPLITS*(D+D/head_dim)</f>
        <v>67633152</v>
      </c>
      <c r="K52" s="13">
        <f t="shared" si="27"/>
        <v>68787372032</v>
      </c>
      <c r="L52" s="15">
        <f t="shared" si="28"/>
        <v>1.998025937</v>
      </c>
      <c r="M52" s="16">
        <f>K52/HBM_BW*1000</f>
        <v>9.295590815</v>
      </c>
      <c r="N52" s="16">
        <f>H52/FLOPS*1000</f>
        <v>0.02978737613</v>
      </c>
      <c r="O52" s="16">
        <f t="shared" si="29"/>
        <v>9.295590815</v>
      </c>
      <c r="P52" s="17" t="str">
        <f t="shared" si="30"/>
        <v>memory_bw</v>
      </c>
    </row>
    <row r="53" ht="22.5" customHeight="1">
      <c r="B53" s="3" t="s">
        <v>78</v>
      </c>
      <c r="C53" s="28" t="s">
        <v>139</v>
      </c>
      <c r="D53" s="13">
        <f>B*DECODE_SPLITS*(D+D/head_dim)</f>
        <v>16908288</v>
      </c>
      <c r="E53" s="13">
        <f>B*DECODE_SPLITS</f>
        <v>2048</v>
      </c>
      <c r="F53" s="14" t="s">
        <v>140</v>
      </c>
      <c r="G53" s="13">
        <f>B*D</f>
        <v>262144</v>
      </c>
      <c r="H53" s="13">
        <f>2*B*DECODE_SPLITS*D+5*B*DECODE_SPLITS*(D/head_dim)</f>
        <v>34209792</v>
      </c>
      <c r="I53" s="13">
        <f>PARTIAL_BYTES*B*DECODE_SPLITS*(D+D/head_dim)</f>
        <v>67633152</v>
      </c>
      <c r="J53" s="13">
        <f>B*D*ELEM_BYTES</f>
        <v>262144</v>
      </c>
      <c r="K53" s="13">
        <f t="shared" si="27"/>
        <v>67895296</v>
      </c>
      <c r="L53" s="15">
        <f t="shared" si="28"/>
        <v>0.5038610039</v>
      </c>
      <c r="M53" s="16">
        <f>K53/HBM_BW*1000</f>
        <v>0.00917504</v>
      </c>
      <c r="N53" s="16">
        <f>H53/FLOPS*1000</f>
        <v>0.000007414345904</v>
      </c>
      <c r="O53" s="16">
        <f t="shared" si="29"/>
        <v>0.00917504</v>
      </c>
      <c r="P53" s="17" t="str">
        <f t="shared" si="30"/>
        <v>memory_bw</v>
      </c>
    </row>
    <row r="54" ht="22.5" customHeight="1">
      <c r="B54" s="3" t="s">
        <v>78</v>
      </c>
      <c r="C54" s="28" t="s">
        <v>141</v>
      </c>
      <c r="D54" s="13">
        <f>B*D</f>
        <v>262144</v>
      </c>
      <c r="E54" s="13">
        <f>D^2</f>
        <v>67108864</v>
      </c>
      <c r="F54" s="14" t="s">
        <v>142</v>
      </c>
      <c r="G54" s="13">
        <f>B*D</f>
        <v>262144</v>
      </c>
      <c r="H54" s="13">
        <f>2*B*D^2</f>
        <v>4294967296</v>
      </c>
      <c r="I54" s="13">
        <f>(B*D+D^2)*ELEM_BYTES</f>
        <v>67371008</v>
      </c>
      <c r="J54" s="13">
        <f>B*D*ELEM_BYTES</f>
        <v>262144</v>
      </c>
      <c r="K54" s="13">
        <f t="shared" si="27"/>
        <v>67633152</v>
      </c>
      <c r="L54" s="15">
        <f t="shared" si="28"/>
        <v>63.50387597</v>
      </c>
      <c r="M54" s="16">
        <f>K54/HBM_BW*1000</f>
        <v>0.009139615135</v>
      </c>
      <c r="N54" s="16">
        <f>H54/FLOPS*1000</f>
        <v>0.0009308555041</v>
      </c>
      <c r="O54" s="16">
        <f t="shared" si="29"/>
        <v>0.009139615135</v>
      </c>
      <c r="P54" s="17" t="str">
        <f t="shared" si="30"/>
        <v>memory_bw</v>
      </c>
    </row>
    <row r="55" ht="22.5" customHeight="1">
      <c r="B55" s="3" t="s">
        <v>78</v>
      </c>
      <c r="C55" s="28" t="s">
        <v>61</v>
      </c>
      <c r="D55" s="13">
        <f>2*B*D</f>
        <v>524288</v>
      </c>
      <c r="E55" s="13">
        <f>D</f>
        <v>8192</v>
      </c>
      <c r="F55" s="14" t="s">
        <v>62</v>
      </c>
      <c r="G55" s="13">
        <f>2*B*D</f>
        <v>524288</v>
      </c>
      <c r="H55" s="13">
        <f>6*B*D</f>
        <v>1572864</v>
      </c>
      <c r="I55" s="13">
        <f>(2*B*D+D)*ELEM_BYTES</f>
        <v>532480</v>
      </c>
      <c r="J55" s="13">
        <f>2*B*D*ELEM_BYTES</f>
        <v>524288</v>
      </c>
      <c r="K55" s="13">
        <f t="shared" si="27"/>
        <v>1056768</v>
      </c>
      <c r="L55" s="15">
        <f t="shared" si="28"/>
        <v>1.488372093</v>
      </c>
      <c r="M55" s="16">
        <f>K55/HBM_BW*1000</f>
        <v>0.0001428064865</v>
      </c>
      <c r="N55" s="16">
        <f>H55/FLOPS*1000</f>
        <v>0.0000003408894668</v>
      </c>
      <c r="O55" s="16">
        <f t="shared" si="29"/>
        <v>0.0001428064865</v>
      </c>
      <c r="P55" s="17" t="str">
        <f t="shared" si="30"/>
        <v>memory_bw</v>
      </c>
    </row>
    <row r="56" ht="22.5" customHeight="1">
      <c r="B56" s="35" t="s">
        <v>63</v>
      </c>
      <c r="C56" s="36" t="s">
        <v>64</v>
      </c>
      <c r="D56" s="13">
        <f>B*D</f>
        <v>262144</v>
      </c>
      <c r="E56" s="13">
        <f>D*nE</f>
        <v>1048576</v>
      </c>
      <c r="F56" s="14" t="s">
        <v>65</v>
      </c>
      <c r="G56" s="13">
        <f>B*topK</f>
        <v>32</v>
      </c>
      <c r="H56" s="13">
        <f>2*B*D*nE+5*B*nE</f>
        <v>67129344</v>
      </c>
      <c r="I56" s="13">
        <f>(B*D+D*nE)*ELEM_BYTES</f>
        <v>1310720</v>
      </c>
      <c r="J56" s="13">
        <f>B*topK*(ELEM_BYTES+4)</f>
        <v>160</v>
      </c>
      <c r="K56" s="13">
        <f t="shared" si="27"/>
        <v>1310880</v>
      </c>
      <c r="L56" s="15">
        <f t="shared" si="28"/>
        <v>51.20937386</v>
      </c>
      <c r="M56" s="16">
        <f>K56/HBM_BW*1000</f>
        <v>0.0001771459459</v>
      </c>
      <c r="N56" s="16">
        <f>H56/FLOPS*1000</f>
        <v>0.00001454905592</v>
      </c>
      <c r="O56" s="16">
        <f t="shared" si="29"/>
        <v>0.0001771459459</v>
      </c>
      <c r="P56" s="17" t="str">
        <f t="shared" si="30"/>
        <v>memory_bw</v>
      </c>
    </row>
    <row r="57" ht="22.5" customHeight="1">
      <c r="B57" s="3" t="s">
        <v>78</v>
      </c>
      <c r="C57" s="28" t="s">
        <v>68</v>
      </c>
      <c r="D57" s="13">
        <f>B*topK*D</f>
        <v>262144</v>
      </c>
      <c r="E57" s="13">
        <f>2*(nE*(1-(1-topK/nE)^B))*D*ED</f>
        <v>7626603457</v>
      </c>
      <c r="F57" s="14" t="s">
        <v>69</v>
      </c>
      <c r="G57" s="13">
        <f>B*topK*ED</f>
        <v>524288</v>
      </c>
      <c r="H57" s="13">
        <f>4*B*topK*D*ED+4*B*topK*ED</f>
        <v>17181966336</v>
      </c>
      <c r="I57" s="13">
        <f>(B*topK*D+2*(nE*(1-(1-topK/nE)^B))*D*ED)*ELEM_BYTES+B*topK*4</f>
        <v>7626865729</v>
      </c>
      <c r="J57" s="13">
        <f>B*topK*ED*ELEM_BYTES</f>
        <v>524288</v>
      </c>
      <c r="K57" s="13">
        <f t="shared" si="27"/>
        <v>7627390017</v>
      </c>
      <c r="L57" s="15">
        <f t="shared" si="28"/>
        <v>2.252666548</v>
      </c>
      <c r="M57" s="16">
        <f>K57/HBM_BW*1000</f>
        <v>1.030728381</v>
      </c>
      <c r="N57" s="16">
        <f>H57/FLOPS*1000</f>
        <v>0.003723876536</v>
      </c>
      <c r="O57" s="16">
        <f t="shared" si="29"/>
        <v>1.030728381</v>
      </c>
      <c r="P57" s="17" t="str">
        <f t="shared" si="30"/>
        <v>memory_bw</v>
      </c>
    </row>
    <row r="58" ht="22.5" customHeight="1">
      <c r="B58" s="3" t="s">
        <v>78</v>
      </c>
      <c r="C58" s="28" t="s">
        <v>70</v>
      </c>
      <c r="D58" s="13">
        <f>B*topK*ED</f>
        <v>524288</v>
      </c>
      <c r="E58" s="13">
        <f>(nE*(1-(1-topK/nE)^B))*ED*D</f>
        <v>3813301728</v>
      </c>
      <c r="F58" s="14" t="s">
        <v>71</v>
      </c>
      <c r="G58" s="13">
        <f>B*D</f>
        <v>262144</v>
      </c>
      <c r="H58" s="13">
        <f>2*B*topK*ED*D+2*B*topK*D</f>
        <v>8590458880</v>
      </c>
      <c r="I58" s="13">
        <f>(B*topK*ED+(nE*(1-(1-topK/nE)^B))*ED*D+B*D)*ELEM_BYTES+B*topK*(ELEM_BYTES+4)</f>
        <v>3814088320</v>
      </c>
      <c r="J58" s="13">
        <f>B*D*ELEM_BYTES</f>
        <v>262144</v>
      </c>
      <c r="K58" s="13">
        <f t="shared" si="27"/>
        <v>3814350464</v>
      </c>
      <c r="L58" s="15">
        <f t="shared" si="28"/>
        <v>2.252141999</v>
      </c>
      <c r="M58" s="16">
        <f>K58/HBM_BW*1000</f>
        <v>0.5154527655</v>
      </c>
      <c r="N58" s="16">
        <f>H58/FLOPS*1000</f>
        <v>0.001861824638</v>
      </c>
      <c r="O58" s="16">
        <f t="shared" si="29"/>
        <v>0.5154527655</v>
      </c>
      <c r="P58" s="17" t="str">
        <f t="shared" si="30"/>
        <v>memory_bw</v>
      </c>
    </row>
    <row r="59" ht="22.5" customHeight="1">
      <c r="A59" s="19"/>
      <c r="B59" s="20" t="s">
        <v>39</v>
      </c>
      <c r="C59" s="21" t="s">
        <v>143</v>
      </c>
      <c r="D59" s="22"/>
      <c r="E59" s="22"/>
      <c r="F59" s="23" t="s">
        <v>85</v>
      </c>
      <c r="G59" s="22"/>
      <c r="H59" s="22">
        <f t="shared" ref="H59:J59" si="31">SUM(H51:H58)</f>
        <v>180497043456</v>
      </c>
      <c r="I59" s="22">
        <f t="shared" si="31"/>
        <v>80499137217</v>
      </c>
      <c r="J59" s="22">
        <f t="shared" si="31"/>
        <v>70254752</v>
      </c>
      <c r="K59" s="22">
        <f t="shared" si="27"/>
        <v>80569391969</v>
      </c>
      <c r="L59" s="24">
        <f t="shared" si="28"/>
        <v>2.240268159</v>
      </c>
      <c r="M59" s="25">
        <f t="shared" ref="M59:O59" si="32">SUM(M51:M58)</f>
        <v>10.88775567</v>
      </c>
      <c r="N59" s="25">
        <f t="shared" si="32"/>
        <v>0.03911942858</v>
      </c>
      <c r="O59" s="25">
        <f t="shared" si="32"/>
        <v>10.88775567</v>
      </c>
      <c r="P59" s="26" t="str">
        <f>IF(N59&gt;=M59,"compute-dominant","memory-dominant")</f>
        <v>memory-dominant</v>
      </c>
    </row>
    <row r="60" ht="22.5" customHeight="1">
      <c r="A60" s="6"/>
      <c r="B60" s="7" t="s">
        <v>144</v>
      </c>
      <c r="C60" s="6"/>
      <c r="D60" s="8"/>
      <c r="E60" s="8"/>
      <c r="F60" s="8"/>
      <c r="G60" s="8"/>
      <c r="H60" s="8"/>
      <c r="I60" s="8"/>
      <c r="J60" s="8"/>
      <c r="K60" s="8"/>
      <c r="L60" s="9"/>
      <c r="M60" s="10"/>
      <c r="N60" s="10"/>
      <c r="O60" s="10"/>
      <c r="P60" s="27" t="s">
        <v>52</v>
      </c>
    </row>
    <row r="61" ht="22.5" customHeight="1">
      <c r="B61" s="11" t="s">
        <v>75</v>
      </c>
      <c r="C61" s="12" t="s">
        <v>76</v>
      </c>
      <c r="D61" s="13">
        <f>B*D</f>
        <v>262144</v>
      </c>
      <c r="E61" s="13">
        <f>D^2</f>
        <v>67108864</v>
      </c>
      <c r="F61" s="14" t="s">
        <v>77</v>
      </c>
      <c r="G61" s="13">
        <f>B*D</f>
        <v>262144</v>
      </c>
      <c r="H61" s="13">
        <f>2*B*D^2+(2*CONV_WIN+5)*B*D</f>
        <v>4298375168</v>
      </c>
      <c r="I61" s="13">
        <f>(B*D+D^2+CONV_WIN*D)*ELEM_BYTES</f>
        <v>67403776</v>
      </c>
      <c r="J61" s="13">
        <f>B*D*ELEM_BYTES</f>
        <v>262144</v>
      </c>
      <c r="K61" s="13">
        <f t="shared" ref="K61:K89" si="33">I61+J61</f>
        <v>67665920</v>
      </c>
      <c r="L61" s="15">
        <f t="shared" ref="L61:L89" si="34">IFERROR(H61/K61,0)</f>
        <v>63.52348668</v>
      </c>
      <c r="M61" s="16">
        <f>K61/HBM_BW*1000</f>
        <v>0.009144043243</v>
      </c>
      <c r="N61" s="16">
        <f>H61/FLOPS*1000</f>
        <v>0.000931594098</v>
      </c>
      <c r="O61" s="16">
        <f t="shared" ref="O61:O63" si="35">MAX(M61,N61)</f>
        <v>0.009144043243</v>
      </c>
      <c r="P61" s="17" t="str">
        <f t="shared" ref="P61:P64" si="36">IF(N61&gt;=M61,"compute","memory_bw")</f>
        <v>memory_bw</v>
      </c>
    </row>
    <row r="62" ht="22.5" customHeight="1">
      <c r="B62" s="3" t="s">
        <v>78</v>
      </c>
      <c r="C62" s="28" t="s">
        <v>79</v>
      </c>
      <c r="D62" s="13">
        <f>B*D</f>
        <v>262144</v>
      </c>
      <c r="E62" s="13">
        <f>B*D*MEM_HIDDEN</f>
        <v>2147483648</v>
      </c>
      <c r="F62" s="14" t="s">
        <v>145</v>
      </c>
      <c r="G62" s="13">
        <f>B*MEM_HIDDEN</f>
        <v>262144</v>
      </c>
      <c r="H62" s="13">
        <f>2*B*D*MEM_HIDDEN+4*B*MEM_HIDDEN</f>
        <v>4296015872</v>
      </c>
      <c r="I62" s="13">
        <f>(B*D+B*D*MEM_HIDDEN)*ELEM_BYTES</f>
        <v>2147745792</v>
      </c>
      <c r="J62" s="13">
        <f>B*MEM_HIDDEN*ELEM_BYTES</f>
        <v>262144</v>
      </c>
      <c r="K62" s="13">
        <f t="shared" si="33"/>
        <v>2148007936</v>
      </c>
      <c r="L62" s="15">
        <f t="shared" si="34"/>
        <v>2</v>
      </c>
      <c r="M62" s="16">
        <f>K62/HBM_BW*1000</f>
        <v>0.2902713427</v>
      </c>
      <c r="N62" s="16">
        <f>H62/FLOPS*1000</f>
        <v>0.0009310827638</v>
      </c>
      <c r="O62" s="16">
        <f t="shared" si="35"/>
        <v>0.2902713427</v>
      </c>
      <c r="P62" s="17" t="str">
        <f t="shared" si="36"/>
        <v>memory_bw</v>
      </c>
    </row>
    <row r="63" ht="22.5" customHeight="1">
      <c r="B63" s="3" t="s">
        <v>78</v>
      </c>
      <c r="C63" s="28" t="s">
        <v>81</v>
      </c>
      <c r="D63" s="13">
        <f>B*(MEM_HIDDEN+D)</f>
        <v>524288</v>
      </c>
      <c r="E63" s="13">
        <f>B*MEM_HIDDEN*D</f>
        <v>2147483648</v>
      </c>
      <c r="F63" s="14" t="s">
        <v>146</v>
      </c>
      <c r="G63" s="13">
        <f>B*D</f>
        <v>262144</v>
      </c>
      <c r="H63" s="13">
        <f>2*B*MEM_HIDDEN*D+B*D</f>
        <v>4295229440</v>
      </c>
      <c r="I63" s="13">
        <f>(B*(MEM_HIDDEN+D)+B*MEM_HIDDEN*D)*ELEM_BYTES</f>
        <v>2148007936</v>
      </c>
      <c r="J63" s="13">
        <f>B*D*ELEM_BYTES</f>
        <v>262144</v>
      </c>
      <c r="K63" s="13">
        <f t="shared" si="33"/>
        <v>2148270080</v>
      </c>
      <c r="L63" s="15">
        <f t="shared" si="34"/>
        <v>1.999389872</v>
      </c>
      <c r="M63" s="16">
        <f>K63/HBM_BW*1000</f>
        <v>0.2903067676</v>
      </c>
      <c r="N63" s="16">
        <f>H63/FLOPS*1000</f>
        <v>0.000930912319</v>
      </c>
      <c r="O63" s="16">
        <f t="shared" si="35"/>
        <v>0.2903067676</v>
      </c>
      <c r="P63" s="17" t="str">
        <f t="shared" si="36"/>
        <v>memory_bw</v>
      </c>
    </row>
    <row r="64" ht="22.5" customHeight="1">
      <c r="B64" s="29" t="s">
        <v>83</v>
      </c>
      <c r="C64" s="30" t="s">
        <v>147</v>
      </c>
      <c r="D64" s="31"/>
      <c r="E64" s="31"/>
      <c r="F64" s="32" t="s">
        <v>85</v>
      </c>
      <c r="G64" s="31"/>
      <c r="H64" s="31">
        <f t="shared" ref="H64:J64" si="37">SUM(H61:H63)</f>
        <v>12889620480</v>
      </c>
      <c r="I64" s="31">
        <f t="shared" si="37"/>
        <v>4363157504</v>
      </c>
      <c r="J64" s="31">
        <f t="shared" si="37"/>
        <v>786432</v>
      </c>
      <c r="K64" s="31">
        <f t="shared" si="33"/>
        <v>4363943936</v>
      </c>
      <c r="L64" s="33">
        <f t="shared" si="34"/>
        <v>2.95366317</v>
      </c>
      <c r="M64" s="34">
        <f t="shared" ref="M64:O64" si="38">SUM(M61:M63)</f>
        <v>0.5897221535</v>
      </c>
      <c r="N64" s="34">
        <f t="shared" si="38"/>
        <v>0.002793589181</v>
      </c>
      <c r="O64" s="34">
        <f t="shared" si="38"/>
        <v>0.5897221535</v>
      </c>
      <c r="P64" s="17" t="str">
        <f t="shared" si="36"/>
        <v>memory_bw</v>
      </c>
    </row>
    <row r="65" ht="22.5" customHeight="1">
      <c r="B65" s="3" t="s">
        <v>86</v>
      </c>
      <c r="C65" s="28" t="s">
        <v>87</v>
      </c>
      <c r="D65" s="13">
        <f>IF(nCMS_Lev&gt;=1,B*D,0)</f>
        <v>262144</v>
      </c>
      <c r="E65" s="13">
        <f>IF(nCMS_Lev&gt;=1,D*CMS_E1,0)</f>
        <v>524288</v>
      </c>
      <c r="F65" s="14" t="s">
        <v>88</v>
      </c>
      <c r="G65" s="13">
        <f>IF(nCMS_Lev&gt;=1,B*topK,0)</f>
        <v>32</v>
      </c>
      <c r="H65" s="13">
        <f>IF(nCMS_Lev&gt;=1,2*B*D*CMS_E1,0)</f>
        <v>33554432</v>
      </c>
      <c r="I65" s="13">
        <f>IF(nCMS_Lev&gt;=1,(B*D+D*CMS_E1)*ELEM_BYTES,0)</f>
        <v>786432</v>
      </c>
      <c r="J65" s="13">
        <f>IF(nCMS_Lev&gt;=1,B*topK*(ELEM_BYTES+4),0)</f>
        <v>160</v>
      </c>
      <c r="K65" s="13">
        <f t="shared" si="33"/>
        <v>786592</v>
      </c>
      <c r="L65" s="15">
        <f t="shared" si="34"/>
        <v>42.65798788</v>
      </c>
      <c r="M65" s="16">
        <f>K65/HBM_BW*1000</f>
        <v>0.0001062962162</v>
      </c>
      <c r="N65" s="16">
        <f>H65/FLOPS*1000</f>
        <v>0.000007272308626</v>
      </c>
      <c r="O65" s="16">
        <f t="shared" ref="O65:O73" si="39">MAX(M65,N65)</f>
        <v>0.0001062962162</v>
      </c>
      <c r="P65" s="17" t="str">
        <f>IF(nCMS_Lev&gt;=1,IF(N65&gt;=M65,"compute","memory_bw"),"inactive")</f>
        <v>memory_bw</v>
      </c>
    </row>
    <row r="66" ht="22.5" customHeight="1">
      <c r="B66" s="35" t="s">
        <v>78</v>
      </c>
      <c r="C66" s="36" t="s">
        <v>89</v>
      </c>
      <c r="D66" s="13">
        <f>IF(nCMS_Lev&gt;=1,B*topK*D,0)</f>
        <v>262144</v>
      </c>
      <c r="E66" s="13">
        <f>IF(nCMS_Lev&gt;=1,B*topK*D*LRD,0)</f>
        <v>16777216</v>
      </c>
      <c r="F66" s="14" t="s">
        <v>90</v>
      </c>
      <c r="G66" s="13">
        <f>IF(nCMS_Lev&gt;=1,B*topK*LRD,0)</f>
        <v>2048</v>
      </c>
      <c r="H66" s="13">
        <f>IF(nCMS_Lev&gt;=1,2*B*topK*D*LRD,0)</f>
        <v>33554432</v>
      </c>
      <c r="I66" s="13">
        <f>IF(nCMS_Lev&gt;=1,(B*topK*D+B*topK*D*LRD)*ELEM_BYTES,0)</f>
        <v>17039360</v>
      </c>
      <c r="J66" s="13">
        <f>IF(nCMS_Lev&gt;=1,B*topK*LRD*ELEM_BYTES,0)</f>
        <v>2048</v>
      </c>
      <c r="K66" s="13">
        <f t="shared" si="33"/>
        <v>17041408</v>
      </c>
      <c r="L66" s="15">
        <f t="shared" si="34"/>
        <v>1.968994111</v>
      </c>
      <c r="M66" s="16">
        <f>K66/HBM_BW*1000</f>
        <v>0.002302892973</v>
      </c>
      <c r="N66" s="16">
        <f>H66/FLOPS*1000</f>
        <v>0.000007272308626</v>
      </c>
      <c r="O66" s="16">
        <f t="shared" si="39"/>
        <v>0.002302892973</v>
      </c>
      <c r="P66" s="17" t="str">
        <f>IF(nCMS_Lev&gt;=1,IF(N66&gt;=M66,"compute","memory_bw"),"inactive")</f>
        <v>memory_bw</v>
      </c>
    </row>
    <row r="67" ht="22.5" customHeight="1">
      <c r="B67" s="1" t="s">
        <v>78</v>
      </c>
      <c r="C67" s="28" t="s">
        <v>91</v>
      </c>
      <c r="D67" s="13">
        <f>IF(nCMS_Lev&gt;=1,B*(topK*LRD+D),0)</f>
        <v>264192</v>
      </c>
      <c r="E67" s="13">
        <f>IF(nCMS_Lev&gt;=1,B*topK*LRD*D,0)</f>
        <v>16777216</v>
      </c>
      <c r="F67" s="14" t="s">
        <v>92</v>
      </c>
      <c r="G67" s="13">
        <f>IF(nCMS_Lev&gt;=1,B*D,0)</f>
        <v>262144</v>
      </c>
      <c r="H67" s="13">
        <f>IF(nCMS_Lev&gt;=1,2*B*topK*LRD*D+B*D,0)</f>
        <v>33816576</v>
      </c>
      <c r="I67" s="13">
        <f>IF(nCMS_Lev&gt;=1,(B*(topK*LRD+D)+B*topK*LRD*D)*ELEM_BYTES,0)</f>
        <v>17041408</v>
      </c>
      <c r="J67" s="13">
        <f>IF(nCMS_Lev&gt;=1,B*D*ELEM_BYTES,0)</f>
        <v>262144</v>
      </c>
      <c r="K67" s="13">
        <f t="shared" si="33"/>
        <v>17303552</v>
      </c>
      <c r="L67" s="15">
        <f t="shared" si="34"/>
        <v>1.95431412</v>
      </c>
      <c r="M67" s="16">
        <f>K67/HBM_BW*1000</f>
        <v>0.002338317838</v>
      </c>
      <c r="N67" s="16">
        <f>H67/FLOPS*1000</f>
        <v>0.000007329123537</v>
      </c>
      <c r="O67" s="16">
        <f t="shared" si="39"/>
        <v>0.002338317838</v>
      </c>
      <c r="P67" s="17" t="str">
        <f>IF(nCMS_Lev&gt;=1,IF(N67&gt;=M67,"compute","memory_bw"),"inactive")</f>
        <v>memory_bw</v>
      </c>
    </row>
    <row r="68" ht="22.5" customHeight="1">
      <c r="B68" s="3" t="s">
        <v>78</v>
      </c>
      <c r="C68" s="28" t="s">
        <v>93</v>
      </c>
      <c r="D68" s="13">
        <f>IF(nCMS_Lev&gt;=2,B*D,0)</f>
        <v>262144</v>
      </c>
      <c r="E68" s="13">
        <f>IF(nCMS_Lev&gt;=2,D*CMS_E2,0)</f>
        <v>1048576</v>
      </c>
      <c r="F68" s="14" t="s">
        <v>88</v>
      </c>
      <c r="G68" s="13">
        <f>IF(nCMS_Lev&gt;=2,B*topK,0)</f>
        <v>32</v>
      </c>
      <c r="H68" s="13">
        <f>IF(nCMS_Lev&gt;=2,2*B*D*CMS_E2,0)</f>
        <v>67108864</v>
      </c>
      <c r="I68" s="13">
        <f>IF(nCMS_Lev&gt;=2,(B*D+D*CMS_E2)*ELEM_BYTES,0)</f>
        <v>1310720</v>
      </c>
      <c r="J68" s="13">
        <f>IF(nCMS_Lev&gt;=2,B*topK*(ELEM_BYTES+4),0)</f>
        <v>160</v>
      </c>
      <c r="K68" s="13">
        <f t="shared" si="33"/>
        <v>1310880</v>
      </c>
      <c r="L68" s="15">
        <f t="shared" si="34"/>
        <v>51.19375076</v>
      </c>
      <c r="M68" s="16">
        <f>K68/HBM_BW*1000</f>
        <v>0.0001771459459</v>
      </c>
      <c r="N68" s="16">
        <f>H68/FLOPS*1000</f>
        <v>0.00001454461725</v>
      </c>
      <c r="O68" s="16">
        <f t="shared" si="39"/>
        <v>0.0001771459459</v>
      </c>
      <c r="P68" s="17" t="str">
        <f>IF(nCMS_Lev&gt;=2,IF(N68&gt;=M68,"compute","memory_bw"),"inactive")</f>
        <v>memory_bw</v>
      </c>
    </row>
    <row r="69" ht="22.5" customHeight="1">
      <c r="B69" s="3" t="s">
        <v>78</v>
      </c>
      <c r="C69" s="28" t="s">
        <v>94</v>
      </c>
      <c r="D69" s="13">
        <f>IF(nCMS_Lev&gt;=2,B*topK*D,0)</f>
        <v>262144</v>
      </c>
      <c r="E69" s="13">
        <f>IF(nCMS_Lev&gt;=2,B*topK*D*LRD,0)</f>
        <v>16777216</v>
      </c>
      <c r="F69" s="14" t="s">
        <v>90</v>
      </c>
      <c r="G69" s="13">
        <f>IF(nCMS_Lev&gt;=2,B*topK*LRD,0)</f>
        <v>2048</v>
      </c>
      <c r="H69" s="13">
        <f>IF(nCMS_Lev&gt;=2,2*B*topK*D*LRD,0)</f>
        <v>33554432</v>
      </c>
      <c r="I69" s="13">
        <f>IF(nCMS_Lev&gt;=2,(B*topK*D+B*topK*D*LRD)*ELEM_BYTES,0)</f>
        <v>17039360</v>
      </c>
      <c r="J69" s="13">
        <f>IF(nCMS_Lev&gt;=2,B*topK*LRD*ELEM_BYTES,0)</f>
        <v>2048</v>
      </c>
      <c r="K69" s="13">
        <f t="shared" si="33"/>
        <v>17041408</v>
      </c>
      <c r="L69" s="15">
        <f t="shared" si="34"/>
        <v>1.968994111</v>
      </c>
      <c r="M69" s="16">
        <f>K69/HBM_BW*1000</f>
        <v>0.002302892973</v>
      </c>
      <c r="N69" s="16">
        <f>H69/FLOPS*1000</f>
        <v>0.000007272308626</v>
      </c>
      <c r="O69" s="16">
        <f t="shared" si="39"/>
        <v>0.002302892973</v>
      </c>
      <c r="P69" s="17" t="str">
        <f>IF(nCMS_Lev&gt;=2,IF(N69&gt;=M69,"compute","memory_bw"),"inactive")</f>
        <v>memory_bw</v>
      </c>
    </row>
    <row r="70" ht="22.5" customHeight="1">
      <c r="B70" s="1" t="s">
        <v>78</v>
      </c>
      <c r="C70" s="28" t="s">
        <v>95</v>
      </c>
      <c r="D70" s="13">
        <f>IF(nCMS_Lev&gt;=2,B*(topK*LRD+D),0)</f>
        <v>264192</v>
      </c>
      <c r="E70" s="13">
        <f>IF(nCMS_Lev&gt;=2,B*topK*LRD*D,0)</f>
        <v>16777216</v>
      </c>
      <c r="F70" s="14" t="s">
        <v>92</v>
      </c>
      <c r="G70" s="13">
        <f>IF(nCMS_Lev&gt;=2,B*D,0)</f>
        <v>262144</v>
      </c>
      <c r="H70" s="13">
        <f>IF(nCMS_Lev&gt;=2,2*B*topK*LRD*D+B*D,0)</f>
        <v>33816576</v>
      </c>
      <c r="I70" s="13">
        <f>IF(nCMS_Lev&gt;=2,(B*(topK*LRD+D)+B*topK*LRD*D)*ELEM_BYTES,0)</f>
        <v>17041408</v>
      </c>
      <c r="J70" s="13">
        <f>IF(nCMS_Lev&gt;=2,B*D*ELEM_BYTES,0)</f>
        <v>262144</v>
      </c>
      <c r="K70" s="13">
        <f t="shared" si="33"/>
        <v>17303552</v>
      </c>
      <c r="L70" s="15">
        <f t="shared" si="34"/>
        <v>1.95431412</v>
      </c>
      <c r="M70" s="16">
        <f>K70/HBM_BW*1000</f>
        <v>0.002338317838</v>
      </c>
      <c r="N70" s="16">
        <f>H70/FLOPS*1000</f>
        <v>0.000007329123537</v>
      </c>
      <c r="O70" s="16">
        <f t="shared" si="39"/>
        <v>0.002338317838</v>
      </c>
      <c r="P70" s="17" t="str">
        <f>IF(nCMS_Lev&gt;=2,IF(N70&gt;=M70,"compute","memory_bw"),"inactive")</f>
        <v>memory_bw</v>
      </c>
    </row>
    <row r="71" ht="22.5" customHeight="1">
      <c r="B71" s="3" t="s">
        <v>78</v>
      </c>
      <c r="C71" s="28" t="s">
        <v>96</v>
      </c>
      <c r="D71" s="13">
        <f>IF(nCMS_Lev&gt;=3,B*D,0)</f>
        <v>262144</v>
      </c>
      <c r="E71" s="13">
        <f>IF(nCMS_Lev&gt;=3,D*CMS_E3,0)</f>
        <v>2097152</v>
      </c>
      <c r="F71" s="14" t="s">
        <v>88</v>
      </c>
      <c r="G71" s="13">
        <f>IF(nCMS_Lev&gt;=3,B*topK,0)</f>
        <v>32</v>
      </c>
      <c r="H71" s="13">
        <f>IF(nCMS_Lev&gt;=3,2*B*D*CMS_E3,0)</f>
        <v>134217728</v>
      </c>
      <c r="I71" s="13">
        <f>IF(nCMS_Lev&gt;=3,(B*D+D*CMS_E3)*ELEM_BYTES,0)</f>
        <v>2359296</v>
      </c>
      <c r="J71" s="13">
        <f>IF(nCMS_Lev&gt;=3,B*topK*(ELEM_BYTES+4),0)</f>
        <v>160</v>
      </c>
      <c r="K71" s="13">
        <f t="shared" si="33"/>
        <v>2359456</v>
      </c>
      <c r="L71" s="15">
        <f t="shared" si="34"/>
        <v>56.88503113</v>
      </c>
      <c r="M71" s="16">
        <f>K71/HBM_BW*1000</f>
        <v>0.0003188454054</v>
      </c>
      <c r="N71" s="16">
        <f>H71/FLOPS*1000</f>
        <v>0.0000290892345</v>
      </c>
      <c r="O71" s="16">
        <f t="shared" si="39"/>
        <v>0.0003188454054</v>
      </c>
      <c r="P71" s="17" t="str">
        <f>IF(nCMS_Lev&gt;=3,IF(N71&gt;=M71,"compute","memory_bw"),"inactive")</f>
        <v>memory_bw</v>
      </c>
    </row>
    <row r="72" ht="22.5" customHeight="1">
      <c r="B72" s="3" t="s">
        <v>78</v>
      </c>
      <c r="C72" s="28" t="s">
        <v>97</v>
      </c>
      <c r="D72" s="13">
        <f>IF(nCMS_Lev&gt;=3,B*topK*D,0)</f>
        <v>262144</v>
      </c>
      <c r="E72" s="13">
        <f>IF(nCMS_Lev&gt;=3,B*topK*D*LRD,0)</f>
        <v>16777216</v>
      </c>
      <c r="F72" s="14" t="s">
        <v>90</v>
      </c>
      <c r="G72" s="13">
        <f>IF(nCMS_Lev&gt;=3,B*topK*LRD,0)</f>
        <v>2048</v>
      </c>
      <c r="H72" s="13">
        <f>IF(nCMS_Lev&gt;=3,2*B*topK*D*LRD,0)</f>
        <v>33554432</v>
      </c>
      <c r="I72" s="13">
        <f>IF(nCMS_Lev&gt;=3,(B*topK*D+B*topK*D*LRD)*ELEM_BYTES,0)</f>
        <v>17039360</v>
      </c>
      <c r="J72" s="13">
        <f>IF(nCMS_Lev&gt;=3,B*topK*LRD*ELEM_BYTES,0)</f>
        <v>2048</v>
      </c>
      <c r="K72" s="13">
        <f t="shared" si="33"/>
        <v>17041408</v>
      </c>
      <c r="L72" s="15">
        <f t="shared" si="34"/>
        <v>1.968994111</v>
      </c>
      <c r="M72" s="16">
        <f>K72/HBM_BW*1000</f>
        <v>0.002302892973</v>
      </c>
      <c r="N72" s="16">
        <f>H72/FLOPS*1000</f>
        <v>0.000007272308626</v>
      </c>
      <c r="O72" s="16">
        <f t="shared" si="39"/>
        <v>0.002302892973</v>
      </c>
      <c r="P72" s="17" t="str">
        <f>IF(nCMS_Lev&gt;=3,IF(N72&gt;=M72,"compute","memory_bw"),"inactive")</f>
        <v>memory_bw</v>
      </c>
    </row>
    <row r="73" ht="22.5" customHeight="1">
      <c r="B73" s="3" t="s">
        <v>78</v>
      </c>
      <c r="C73" s="28" t="s">
        <v>98</v>
      </c>
      <c r="D73" s="13">
        <f>IF(nCMS_Lev&gt;=3,B*(topK*LRD+D),0)</f>
        <v>264192</v>
      </c>
      <c r="E73" s="13">
        <f>IF(nCMS_Lev&gt;=3,B*topK*LRD*D,0)</f>
        <v>16777216</v>
      </c>
      <c r="F73" s="14" t="s">
        <v>92</v>
      </c>
      <c r="G73" s="13">
        <f>IF(nCMS_Lev&gt;=3,B*D,0)</f>
        <v>262144</v>
      </c>
      <c r="H73" s="13">
        <f>IF(nCMS_Lev&gt;=3,2*B*topK*LRD*D+B*D,0)</f>
        <v>33816576</v>
      </c>
      <c r="I73" s="13">
        <f>IF(nCMS_Lev&gt;=3,(B*(topK*LRD+D)+B*topK*LRD*D)*ELEM_BYTES,0)</f>
        <v>17041408</v>
      </c>
      <c r="J73" s="13">
        <f>IF(nCMS_Lev&gt;=3,B*D*ELEM_BYTES,0)</f>
        <v>262144</v>
      </c>
      <c r="K73" s="13">
        <f t="shared" si="33"/>
        <v>17303552</v>
      </c>
      <c r="L73" s="15">
        <f t="shared" si="34"/>
        <v>1.95431412</v>
      </c>
      <c r="M73" s="16">
        <f>K73/HBM_BW*1000</f>
        <v>0.002338317838</v>
      </c>
      <c r="N73" s="16">
        <f>H73/FLOPS*1000</f>
        <v>0.000007329123537</v>
      </c>
      <c r="O73" s="16">
        <f t="shared" si="39"/>
        <v>0.002338317838</v>
      </c>
      <c r="P73" s="17" t="str">
        <f>IF(nCMS_Lev&gt;=3,IF(N73&gt;=M73,"compute","memory_bw"),"inactive")</f>
        <v>memory_bw</v>
      </c>
    </row>
    <row r="74" ht="22.5" customHeight="1">
      <c r="B74" s="37" t="s">
        <v>83</v>
      </c>
      <c r="C74" s="30" t="s">
        <v>148</v>
      </c>
      <c r="D74" s="31"/>
      <c r="E74" s="31"/>
      <c r="F74" s="32" t="s">
        <v>85</v>
      </c>
      <c r="G74" s="31"/>
      <c r="H74" s="31">
        <f t="shared" ref="H74:J74" si="40">SUM(H65:H73)</f>
        <v>436994048</v>
      </c>
      <c r="I74" s="31">
        <f t="shared" si="40"/>
        <v>106698752</v>
      </c>
      <c r="J74" s="31">
        <f t="shared" si="40"/>
        <v>793056</v>
      </c>
      <c r="K74" s="31">
        <f t="shared" si="33"/>
        <v>107491808</v>
      </c>
      <c r="L74" s="33">
        <f t="shared" si="34"/>
        <v>4.065370712</v>
      </c>
      <c r="M74" s="34">
        <f t="shared" ref="M74:O74" si="41">SUM(M65:M73)</f>
        <v>0.01452592</v>
      </c>
      <c r="N74" s="34">
        <f t="shared" si="41"/>
        <v>0.00009471045687</v>
      </c>
      <c r="O74" s="34">
        <f t="shared" si="41"/>
        <v>0.01452592</v>
      </c>
      <c r="P74" s="17" t="str">
        <f>IF(nCMS_Lev&gt;=1,IF(N74&gt;=M74,"compute","memory_bw"),"inactive")</f>
        <v>memory_bw</v>
      </c>
    </row>
    <row r="75" ht="22.5" customHeight="1">
      <c r="B75" s="37" t="s">
        <v>100</v>
      </c>
      <c r="C75" s="30" t="s">
        <v>149</v>
      </c>
      <c r="D75" s="31"/>
      <c r="E75" s="31"/>
      <c r="F75" s="32" t="s">
        <v>102</v>
      </c>
      <c r="G75" s="31"/>
      <c r="H75" s="31">
        <f t="shared" ref="H75:J75" si="42">H64+H74</f>
        <v>13326614528</v>
      </c>
      <c r="I75" s="31">
        <f t="shared" si="42"/>
        <v>4469856256</v>
      </c>
      <c r="J75" s="31">
        <f t="shared" si="42"/>
        <v>1579488</v>
      </c>
      <c r="K75" s="31">
        <f t="shared" si="33"/>
        <v>4471435744</v>
      </c>
      <c r="L75" s="33">
        <f t="shared" si="34"/>
        <v>2.980388245</v>
      </c>
      <c r="M75" s="34">
        <f t="shared" ref="M75:O75" si="43">M64+M74</f>
        <v>0.6042480735</v>
      </c>
      <c r="N75" s="34">
        <f t="shared" si="43"/>
        <v>0.002888299638</v>
      </c>
      <c r="O75" s="34">
        <f t="shared" si="43"/>
        <v>0.6042480735</v>
      </c>
      <c r="P75" s="17" t="str">
        <f t="shared" ref="P75:P87" si="44">IF(N75&gt;=M75,"compute","memory_bw")</f>
        <v>memory_bw</v>
      </c>
    </row>
    <row r="76" ht="22.5" customHeight="1">
      <c r="B76" s="3" t="s">
        <v>103</v>
      </c>
      <c r="C76" s="28" t="s">
        <v>104</v>
      </c>
      <c r="D76" s="13">
        <f>B*D</f>
        <v>262144</v>
      </c>
      <c r="E76" s="13">
        <f>B*nAux*D*MEM_HIDDEN</f>
        <v>8589934592</v>
      </c>
      <c r="F76" s="14" t="s">
        <v>105</v>
      </c>
      <c r="G76" s="13">
        <f>B*nAux*MEM_HIDDEN</f>
        <v>1048576</v>
      </c>
      <c r="H76" s="13">
        <f>2*B*nAux*D*MEM_HIDDEN+4*B*nAux*MEM_HIDDEN</f>
        <v>17184063488</v>
      </c>
      <c r="I76" s="13">
        <f>(B*D+B*nAux*D*MEM_HIDDEN)*ELEM_BYTES</f>
        <v>8590196736</v>
      </c>
      <c r="J76" s="13">
        <f>B*nAux*MEM_HIDDEN*ELEM_BYTES</f>
        <v>1048576</v>
      </c>
      <c r="K76" s="13">
        <f t="shared" si="33"/>
        <v>8591245312</v>
      </c>
      <c r="L76" s="15">
        <f t="shared" si="34"/>
        <v>2.000183078</v>
      </c>
      <c r="M76" s="16">
        <f>K76/HBM_BW*1000</f>
        <v>1.160979096</v>
      </c>
      <c r="N76" s="16">
        <f>H76/FLOPS*1000</f>
        <v>0.003724331055</v>
      </c>
      <c r="O76" s="16">
        <f t="shared" ref="O76:O80" si="45">MAX(M76,N76)</f>
        <v>1.160979096</v>
      </c>
      <c r="P76" s="17" t="str">
        <f t="shared" si="44"/>
        <v>memory_bw</v>
      </c>
    </row>
    <row r="77" ht="22.5" customHeight="1">
      <c r="B77" s="3" t="s">
        <v>78</v>
      </c>
      <c r="C77" s="28" t="s">
        <v>106</v>
      </c>
      <c r="D77" s="13">
        <f>B*(nAux*MEM_HIDDEN+D)</f>
        <v>1310720</v>
      </c>
      <c r="E77" s="13">
        <f>B*nAux*MEM_HIDDEN*D</f>
        <v>8589934592</v>
      </c>
      <c r="F77" s="14" t="s">
        <v>107</v>
      </c>
      <c r="G77" s="13">
        <f>B*nAux*D</f>
        <v>1048576</v>
      </c>
      <c r="H77" s="13">
        <f>2*B*nAux*MEM_HIDDEN*D+B*nAux*D+5*B*D</f>
        <v>17182228480</v>
      </c>
      <c r="I77" s="13">
        <f>(B*(nAux*MEM_HIDDEN+D)+B*nAux*MEM_HIDDEN*D)*ELEM_BYTES</f>
        <v>8591245312</v>
      </c>
      <c r="J77" s="13">
        <f>B*nAux*D*ELEM_BYTES</f>
        <v>1048576</v>
      </c>
      <c r="K77" s="13">
        <f t="shared" si="33"/>
        <v>8592293888</v>
      </c>
      <c r="L77" s="15">
        <f t="shared" si="34"/>
        <v>1.999725417</v>
      </c>
      <c r="M77" s="16">
        <f>K77/HBM_BW*1000</f>
        <v>1.161120796</v>
      </c>
      <c r="N77" s="16">
        <f>H77/FLOPS*1000</f>
        <v>0.003723933351</v>
      </c>
      <c r="O77" s="16">
        <f t="shared" si="45"/>
        <v>1.161120796</v>
      </c>
      <c r="P77" s="17" t="str">
        <f t="shared" si="44"/>
        <v>memory_bw</v>
      </c>
    </row>
    <row r="78" ht="22.5" customHeight="1">
      <c r="B78" s="35" t="s">
        <v>108</v>
      </c>
      <c r="C78" s="36" t="s">
        <v>109</v>
      </c>
      <c r="D78" s="13">
        <f>2*B*D</f>
        <v>524288</v>
      </c>
      <c r="E78" s="13">
        <f>B*nMutable*D*MEM_HIDDEN</f>
        <v>10737418240</v>
      </c>
      <c r="F78" s="14" t="s">
        <v>110</v>
      </c>
      <c r="G78" s="13">
        <f>2*B*nMutable*MEM_HIDDEN</f>
        <v>2621440</v>
      </c>
      <c r="H78" s="13">
        <f>4*B*nMutable*D*MEM_HIDDEN+8*B*nMutable*MEM_HIDDEN</f>
        <v>42960158720</v>
      </c>
      <c r="I78" s="13">
        <f>(2*B*D+B*nMutable*D*MEM_HIDDEN)*ELEM_BYTES</f>
        <v>10737942528</v>
      </c>
      <c r="J78" s="13">
        <f>2*B*nMutable*MEM_HIDDEN*ELEM_BYTES</f>
        <v>2621440</v>
      </c>
      <c r="K78" s="13">
        <f t="shared" si="33"/>
        <v>10740563968</v>
      </c>
      <c r="L78" s="15">
        <f t="shared" si="34"/>
        <v>3.999804745</v>
      </c>
      <c r="M78" s="16">
        <f>K78/HBM_BW*1000</f>
        <v>1.451427563</v>
      </c>
      <c r="N78" s="16">
        <f>H78/FLOPS*1000</f>
        <v>0.009310827638</v>
      </c>
      <c r="O78" s="16">
        <f t="shared" si="45"/>
        <v>1.451427563</v>
      </c>
      <c r="P78" s="17" t="str">
        <f t="shared" si="44"/>
        <v>memory_bw</v>
      </c>
    </row>
    <row r="79" ht="22.5" customHeight="1">
      <c r="B79" s="3" t="s">
        <v>78</v>
      </c>
      <c r="C79" s="28" t="s">
        <v>111</v>
      </c>
      <c r="D79" s="13">
        <f>2*B*(nMutable*MEM_HIDDEN+D)</f>
        <v>3145728</v>
      </c>
      <c r="E79" s="13">
        <f>B*nMutable*MEM_HIDDEN*D</f>
        <v>10737418240</v>
      </c>
      <c r="F79" s="14" t="s">
        <v>110</v>
      </c>
      <c r="G79" s="13">
        <f>2*B*nMutable*D</f>
        <v>2621440</v>
      </c>
      <c r="H79" s="13">
        <f>4*B*nMutable*MEM_HIDDEN*D+2*B*nMutable*D</f>
        <v>42952294400</v>
      </c>
      <c r="I79" s="13">
        <f>(2*B*(nMutable*MEM_HIDDEN+D)+B*nMutable*MEM_HIDDEN*D)*ELEM_BYTES</f>
        <v>10740563968</v>
      </c>
      <c r="J79" s="13">
        <f>2*B*nMutable*D*ELEM_BYTES</f>
        <v>2621440</v>
      </c>
      <c r="K79" s="13">
        <f t="shared" si="33"/>
        <v>10743185408</v>
      </c>
      <c r="L79" s="15">
        <f t="shared" si="34"/>
        <v>3.998096725</v>
      </c>
      <c r="M79" s="16">
        <f>K79/HBM_BW*1000</f>
        <v>1.451781812</v>
      </c>
      <c r="N79" s="16">
        <f>H79/FLOPS*1000</f>
        <v>0.00930912319</v>
      </c>
      <c r="O79" s="16">
        <f t="shared" si="45"/>
        <v>1.451781812</v>
      </c>
      <c r="P79" s="17" t="str">
        <f t="shared" si="44"/>
        <v>memory_bw</v>
      </c>
    </row>
    <row r="80" ht="22.5" customHeight="1">
      <c r="B80" s="3" t="s">
        <v>78</v>
      </c>
      <c r="C80" s="28" t="s">
        <v>112</v>
      </c>
      <c r="D80" s="13">
        <f>2*B*nMutable*D</f>
        <v>2621440</v>
      </c>
      <c r="E80" s="13">
        <f>0</f>
        <v>0</v>
      </c>
      <c r="F80" s="14" t="s">
        <v>113</v>
      </c>
      <c r="G80" s="13">
        <f>B*nMutable*D</f>
        <v>1310720</v>
      </c>
      <c r="H80" s="13">
        <f>3*B*nMutable*D</f>
        <v>3932160</v>
      </c>
      <c r="I80" s="13">
        <f>2*B*nMutable*D*ELEM_BYTES</f>
        <v>2621440</v>
      </c>
      <c r="J80" s="13">
        <f>B*nMutable*D*ELEM_BYTES</f>
        <v>1310720</v>
      </c>
      <c r="K80" s="13">
        <f t="shared" si="33"/>
        <v>3932160</v>
      </c>
      <c r="L80" s="15">
        <f t="shared" si="34"/>
        <v>1</v>
      </c>
      <c r="M80" s="16">
        <f>K80/HBM_BW*1000</f>
        <v>0.000531372973</v>
      </c>
      <c r="N80" s="16">
        <f>H80/FLOPS*1000</f>
        <v>0.0000008522236671</v>
      </c>
      <c r="O80" s="16">
        <f t="shared" si="45"/>
        <v>0.000531372973</v>
      </c>
      <c r="P80" s="17" t="str">
        <f t="shared" si="44"/>
        <v>memory_bw</v>
      </c>
    </row>
    <row r="81" ht="22.5" customHeight="1">
      <c r="B81" s="37" t="s">
        <v>83</v>
      </c>
      <c r="C81" s="30" t="s">
        <v>150</v>
      </c>
      <c r="D81" s="31"/>
      <c r="E81" s="31"/>
      <c r="F81" s="32" t="s">
        <v>85</v>
      </c>
      <c r="G81" s="31"/>
      <c r="H81" s="31">
        <f t="shared" ref="H81:J81" si="46">SUM(H76:H80)</f>
        <v>120282677248</v>
      </c>
      <c r="I81" s="31">
        <f t="shared" si="46"/>
        <v>38662569984</v>
      </c>
      <c r="J81" s="31">
        <f t="shared" si="46"/>
        <v>8650752</v>
      </c>
      <c r="K81" s="31">
        <f t="shared" si="33"/>
        <v>38671220736</v>
      </c>
      <c r="L81" s="33">
        <f t="shared" si="34"/>
        <v>3.11039256</v>
      </c>
      <c r="M81" s="34">
        <f t="shared" ref="M81:O81" si="47">SUM(M76:M80)</f>
        <v>5.22584064</v>
      </c>
      <c r="N81" s="34">
        <f t="shared" si="47"/>
        <v>0.02606906746</v>
      </c>
      <c r="O81" s="34">
        <f t="shared" si="47"/>
        <v>5.22584064</v>
      </c>
      <c r="P81" s="17" t="str">
        <f t="shared" si="44"/>
        <v>memory_bw</v>
      </c>
    </row>
    <row r="82" ht="22.5" customHeight="1">
      <c r="B82" s="35" t="s">
        <v>115</v>
      </c>
      <c r="C82" s="36" t="s">
        <v>116</v>
      </c>
      <c r="D82" s="13">
        <f>B*nMutable*(D+MEM_HIDDEN)</f>
        <v>2621440</v>
      </c>
      <c r="E82" s="13">
        <f>B*nMutable*MEM_HIDDEN*D</f>
        <v>10737418240</v>
      </c>
      <c r="F82" s="14" t="s">
        <v>117</v>
      </c>
      <c r="G82" s="13">
        <f>B*nMutable*MEM_HIDDEN+B*nMutable*MEM_HIDDEN*D</f>
        <v>10738728960</v>
      </c>
      <c r="H82" s="13">
        <f>4*B*nMutable*D*MEM_HIDDEN+3*B*nMutable*MEM_HIDDEN</f>
        <v>42953605120</v>
      </c>
      <c r="I82" s="13">
        <f>(B*nMutable*(D+MEM_HIDDEN)+B*nMutable*MEM_HIDDEN*D)*ELEM_BYTES</f>
        <v>10740039680</v>
      </c>
      <c r="J82" s="13">
        <f>(B*nMutable*MEM_HIDDEN+B*nMutable*MEM_HIDDEN*D)*ELEM_BYTES</f>
        <v>10738728960</v>
      </c>
      <c r="K82" s="13">
        <f t="shared" si="33"/>
        <v>21478768640</v>
      </c>
      <c r="L82" s="15">
        <f t="shared" si="34"/>
        <v>1.999816928</v>
      </c>
      <c r="M82" s="16">
        <f>K82/HBM_BW*1000</f>
        <v>2.902536303</v>
      </c>
      <c r="N82" s="16">
        <f>H82/FLOPS*1000</f>
        <v>0.009309407265</v>
      </c>
      <c r="O82" s="16">
        <f t="shared" ref="O82:O85" si="48">MAX(M82,N82)</f>
        <v>2.902536303</v>
      </c>
      <c r="P82" s="17" t="str">
        <f t="shared" si="44"/>
        <v>memory_bw</v>
      </c>
    </row>
    <row r="83" ht="22.5" customHeight="1">
      <c r="B83" s="3" t="s">
        <v>78</v>
      </c>
      <c r="C83" s="28" t="s">
        <v>118</v>
      </c>
      <c r="D83" s="13">
        <f>B*(D+nMutable*MEM_HIDDEN)</f>
        <v>1572864</v>
      </c>
      <c r="E83" s="13">
        <f>0</f>
        <v>0</v>
      </c>
      <c r="F83" s="14" t="s">
        <v>119</v>
      </c>
      <c r="G83" s="13">
        <f>B*nMutable*D*MEM_HIDDEN</f>
        <v>10737418240</v>
      </c>
      <c r="H83" s="13">
        <f>2*B*nMutable*D*MEM_HIDDEN</f>
        <v>21474836480</v>
      </c>
      <c r="I83" s="13">
        <f>B*(D+nMutable*MEM_HIDDEN)*ELEM_BYTES</f>
        <v>1572864</v>
      </c>
      <c r="J83" s="13">
        <f>B*nMutable*D*MEM_HIDDEN*ELEM_BYTES</f>
        <v>10737418240</v>
      </c>
      <c r="K83" s="13">
        <f t="shared" si="33"/>
        <v>10738991104</v>
      </c>
      <c r="L83" s="15">
        <f t="shared" si="34"/>
        <v>1.999707074</v>
      </c>
      <c r="M83" s="16">
        <f>K83/HBM_BW*1000</f>
        <v>1.451215014</v>
      </c>
      <c r="N83" s="16">
        <f>H83/FLOPS*1000</f>
        <v>0.004654277521</v>
      </c>
      <c r="O83" s="16">
        <f t="shared" si="48"/>
        <v>1.451215014</v>
      </c>
      <c r="P83" s="17" t="str">
        <f t="shared" si="44"/>
        <v>memory_bw</v>
      </c>
    </row>
    <row r="84" ht="22.5" customHeight="1">
      <c r="B84" s="3" t="s">
        <v>120</v>
      </c>
      <c r="C84" s="28" t="s">
        <v>151</v>
      </c>
      <c r="D84" s="13">
        <f>B*(D+nMutable*MEM_HIDDEN)</f>
        <v>1572864</v>
      </c>
      <c r="E84" s="13">
        <f>2*B*nMutable*D*MEM_HIDDEN</f>
        <v>21474836480</v>
      </c>
      <c r="F84" s="14" t="s">
        <v>152</v>
      </c>
      <c r="G84" s="13">
        <f>B*nMutable*D*MEM_HIDDEN</f>
        <v>10737418240</v>
      </c>
      <c r="H84" s="13">
        <f>4*B*nMutable*D*MEM_HIDDEN</f>
        <v>42949672960</v>
      </c>
      <c r="I84" s="13">
        <f>(B*(D+nMutable*MEM_HIDDEN)+2*B*nMutable*D*MEM_HIDDEN)*ELEM_BYTES</f>
        <v>21476409344</v>
      </c>
      <c r="J84" s="13">
        <f>B*nMutable*D*MEM_HIDDEN*ELEM_BYTES</f>
        <v>10737418240</v>
      </c>
      <c r="K84" s="13">
        <f t="shared" si="33"/>
        <v>32213827584</v>
      </c>
      <c r="L84" s="15">
        <f t="shared" si="34"/>
        <v>1.333268232</v>
      </c>
      <c r="M84" s="16">
        <f>K84/HBM_BW*1000</f>
        <v>4.353219944</v>
      </c>
      <c r="N84" s="16">
        <f>H84/FLOPS*1000</f>
        <v>0.009308555041</v>
      </c>
      <c r="O84" s="16">
        <f t="shared" si="48"/>
        <v>4.353219944</v>
      </c>
      <c r="P84" s="17" t="str">
        <f t="shared" si="44"/>
        <v>memory_bw</v>
      </c>
    </row>
    <row r="85" ht="22.5" customHeight="1">
      <c r="B85" s="3" t="s">
        <v>78</v>
      </c>
      <c r="C85" s="28" t="s">
        <v>123</v>
      </c>
      <c r="D85" s="13">
        <f>B*nMutable*D*MEM_HIDDEN</f>
        <v>10737418240</v>
      </c>
      <c r="E85" s="13">
        <f>B*nMutable*D*MEM_HIDDEN</f>
        <v>10737418240</v>
      </c>
      <c r="F85" s="14" t="s">
        <v>124</v>
      </c>
      <c r="G85" s="13">
        <f>B*nMutable*D*MEM_HIDDEN</f>
        <v>10737418240</v>
      </c>
      <c r="H85" s="13">
        <f>2*B*nMutable*D*MEM_HIDDEN</f>
        <v>21474836480</v>
      </c>
      <c r="I85" s="13">
        <f>2*B*nMutable*D*MEM_HIDDEN*ELEM_BYTES</f>
        <v>21474836480</v>
      </c>
      <c r="J85" s="13">
        <f>B*nMutable*D*MEM_HIDDEN*ELEM_BYTES</f>
        <v>10737418240</v>
      </c>
      <c r="K85" s="13">
        <f t="shared" si="33"/>
        <v>32212254720</v>
      </c>
      <c r="L85" s="15">
        <f t="shared" si="34"/>
        <v>0.6666666667</v>
      </c>
      <c r="M85" s="16">
        <f>K85/HBM_BW*1000</f>
        <v>4.353007395</v>
      </c>
      <c r="N85" s="16">
        <f>H85/FLOPS*1000</f>
        <v>0.004654277521</v>
      </c>
      <c r="O85" s="16">
        <f t="shared" si="48"/>
        <v>4.353007395</v>
      </c>
      <c r="P85" s="17" t="str">
        <f t="shared" si="44"/>
        <v>memory_bw</v>
      </c>
    </row>
    <row r="86" ht="22.5" customHeight="1">
      <c r="B86" s="37" t="s">
        <v>83</v>
      </c>
      <c r="C86" s="30" t="s">
        <v>153</v>
      </c>
      <c r="D86" s="31"/>
      <c r="E86" s="31"/>
      <c r="F86" s="32" t="s">
        <v>85</v>
      </c>
      <c r="G86" s="31"/>
      <c r="H86" s="31">
        <f t="shared" ref="H86:J86" si="49">SUM(H82:H85)</f>
        <v>128852951040</v>
      </c>
      <c r="I86" s="31">
        <f t="shared" si="49"/>
        <v>53692858368</v>
      </c>
      <c r="J86" s="31">
        <f t="shared" si="49"/>
        <v>42950983680</v>
      </c>
      <c r="K86" s="31">
        <f t="shared" si="33"/>
        <v>96643842048</v>
      </c>
      <c r="L86" s="33">
        <f t="shared" si="34"/>
        <v>1.333276371</v>
      </c>
      <c r="M86" s="34">
        <f t="shared" ref="M86:O86" si="50">SUM(M82:M85)</f>
        <v>13.05997866</v>
      </c>
      <c r="N86" s="34">
        <f t="shared" si="50"/>
        <v>0.02792651735</v>
      </c>
      <c r="O86" s="34">
        <f t="shared" si="50"/>
        <v>13.05997866</v>
      </c>
      <c r="P86" s="17" t="str">
        <f t="shared" si="44"/>
        <v>memory_bw</v>
      </c>
    </row>
    <row r="87" ht="22.5" customHeight="1">
      <c r="B87" s="37" t="s">
        <v>154</v>
      </c>
      <c r="C87" s="30" t="s">
        <v>155</v>
      </c>
      <c r="D87" s="31"/>
      <c r="E87" s="31"/>
      <c r="F87" s="32" t="s">
        <v>156</v>
      </c>
      <c r="G87" s="31"/>
      <c r="H87" s="31">
        <f t="shared" ref="H87:J87" si="51">H75</f>
        <v>13326614528</v>
      </c>
      <c r="I87" s="31">
        <f t="shared" si="51"/>
        <v>4469856256</v>
      </c>
      <c r="J87" s="31">
        <f t="shared" si="51"/>
        <v>1579488</v>
      </c>
      <c r="K87" s="31">
        <f t="shared" si="33"/>
        <v>4471435744</v>
      </c>
      <c r="L87" s="33">
        <f t="shared" si="34"/>
        <v>2.980388245</v>
      </c>
      <c r="M87" s="34">
        <f t="shared" ref="M87:O87" si="52">M75</f>
        <v>0.6042480735</v>
      </c>
      <c r="N87" s="34">
        <f t="shared" si="52"/>
        <v>0.002888299638</v>
      </c>
      <c r="O87" s="34">
        <f t="shared" si="52"/>
        <v>0.6042480735</v>
      </c>
      <c r="P87" s="17" t="str">
        <f t="shared" si="44"/>
        <v>memory_bw</v>
      </c>
    </row>
    <row r="88" ht="22.5" customHeight="1">
      <c r="A88" s="19"/>
      <c r="B88" s="38" t="s">
        <v>157</v>
      </c>
      <c r="C88" s="39" t="s">
        <v>158</v>
      </c>
      <c r="D88" s="40"/>
      <c r="E88" s="40"/>
      <c r="F88" s="41" t="s">
        <v>102</v>
      </c>
      <c r="G88" s="40"/>
      <c r="H88" s="40">
        <f t="shared" ref="H88:J88" si="53">H81+H86</f>
        <v>249135628288</v>
      </c>
      <c r="I88" s="40">
        <f t="shared" si="53"/>
        <v>92355428352</v>
      </c>
      <c r="J88" s="40">
        <f t="shared" si="53"/>
        <v>42959634432</v>
      </c>
      <c r="K88" s="40">
        <f t="shared" si="33"/>
        <v>135315062784</v>
      </c>
      <c r="L88" s="42">
        <f t="shared" si="34"/>
        <v>1.84115222</v>
      </c>
      <c r="M88" s="43">
        <f t="shared" ref="M88:O88" si="54">M81+M86</f>
        <v>18.2858193</v>
      </c>
      <c r="N88" s="43">
        <f t="shared" si="54"/>
        <v>0.0539955848</v>
      </c>
      <c r="O88" s="43">
        <f t="shared" si="54"/>
        <v>18.2858193</v>
      </c>
      <c r="P88" s="26" t="str">
        <f>IF(N88&gt;=M88,"compute-dominant","memory-dominant")</f>
        <v>memory-dominant</v>
      </c>
    </row>
    <row r="89" ht="22.5" customHeight="1">
      <c r="A89" s="44"/>
      <c r="B89" s="20" t="s">
        <v>132</v>
      </c>
      <c r="C89" s="21" t="s">
        <v>159</v>
      </c>
      <c r="D89" s="22"/>
      <c r="E89" s="22"/>
      <c r="F89" s="23" t="s">
        <v>102</v>
      </c>
      <c r="G89" s="22"/>
      <c r="H89" s="22">
        <f t="shared" ref="H89:J89" si="55">H87+H88</f>
        <v>262462242816</v>
      </c>
      <c r="I89" s="22">
        <f t="shared" si="55"/>
        <v>96825284608</v>
      </c>
      <c r="J89" s="22">
        <f t="shared" si="55"/>
        <v>42961213920</v>
      </c>
      <c r="K89" s="22">
        <f t="shared" si="33"/>
        <v>139786498528</v>
      </c>
      <c r="L89" s="24">
        <f t="shared" si="34"/>
        <v>1.877593656</v>
      </c>
      <c r="M89" s="25">
        <f t="shared" ref="M89:O89" si="56">M87+M88</f>
        <v>18.89006737</v>
      </c>
      <c r="N89" s="25">
        <f t="shared" si="56"/>
        <v>0.05688388444</v>
      </c>
      <c r="O89" s="25">
        <f t="shared" si="56"/>
        <v>18.89006737</v>
      </c>
      <c r="P89" s="45"/>
    </row>
  </sheetData>
  <drawing r:id="rId2"/>
  <legacyDrawing r:id="rId3"/>
</worksheet>
</file>