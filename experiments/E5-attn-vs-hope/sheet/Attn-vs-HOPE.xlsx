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4cc245cec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fe8ed7ee462b4649"/>
    <x:sheet xmlns:r="http://schemas.openxmlformats.org/officeDocument/2006/relationships" name="01_Inputs" sheetId="2" r:id="R0c6ea534b2684789"/>
    <x:sheet xmlns:r="http://schemas.openxmlformats.org/officeDocument/2006/relationships" name="02_HW" sheetId="3" r:id="R745462732f3a4b37"/>
    <x:sheet xmlns:r="http://schemas.openxmlformats.org/officeDocument/2006/relationships" name="10_AttnMoE_Prefill" sheetId="4" r:id="Rac8bb67d6fb841b0"/>
    <x:sheet xmlns:r="http://schemas.openxmlformats.org/officeDocument/2006/relationships" name="11_AttnMoE_Decode" sheetId="5" r:id="R311f02261cb042bf"/>
    <x:sheet xmlns:r="http://schemas.openxmlformats.org/officeDocument/2006/relationships" name="20_HOPE_Prefill" sheetId="6" r:id="R8f3352fd192a48c2"/>
    <x:sheet xmlns:r="http://schemas.openxmlformats.org/officeDocument/2006/relationships" name="21_HOPE_Decode" sheetId="7" r:id="Rbbeb6cc8e55f4211"/>
    <x:sheet xmlns:r="http://schemas.openxmlformats.org/officeDocument/2006/relationships" name="30_Compare" sheetId="8" r:id="R03264386cd2e4654"/>
    <x:sheet xmlns:r="http://schemas.openxmlformats.org/officeDocument/2006/relationships" name="40_Sweeps" sheetId="9" r:id="R102c8b23765b41c4"/>
    <x:sheet xmlns:r="http://schemas.openxmlformats.org/officeDocument/2006/relationships" name="90_QA" sheetId="10" r:id="R3f1bc3f204534b26"/>
    <x:sheet xmlns:r="http://schemas.openxmlformats.org/officeDocument/2006/relationships" name="99_Sources" sheetId="11" r:id="Rc6f373ea40b8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############"/>
    <x:numFmt numFmtId="201" formatCode="0.############E+00"/>
    <x:numFmt numFmtId="202" formatCode="0.000E+00"/>
    <x:numFmt numFmtId="203" formatCode="0.000"/>
    <x:numFmt numFmtId="204" formatCode="0.000000"/>
    <x:numFmt numFmtId="205" formatCode="#,##0.00"/>
    <x:numFmt numFmtId="206" formatCode="0.00E+00"/>
    <x:numFmt numFmtId="207" formatCode="#,##0"/>
    <x:numFmt numFmtId="208" formatCode="0.0000000000E+00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9"/>
      <x:color rgb="FF263746"/>
      <x:name val="Carlito"/>
    </x:font>
    <x:font>
      <x:b/>
      <x:sz val="9"/>
      <x:color rgb="FFFFFFFF"/>
      <x:name val="Carlito"/>
    </x:font>
    <x:font>
      <x:sz val="9"/>
      <x:color rgb="FF263746"/>
      <x:name val="Carlito"/>
    </x:font>
    <x:font>
      <x:b/>
      <x:i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667788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BD5DF"/>
      </x:left>
      <x:top style="thin">
        <x:color rgb="FFCBD5DF"/>
      </x:top>
      <x:bottom style="thin">
        <x:color rgb="FFCBD5DF"/>
      </x:bottom>
    </x:border>
    <x:border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bottom style="thin">
        <x:color rgb="FFE4E9EE"/>
      </x:bottom>
    </x:border>
    <x:border>
      <x:top style="thin">
        <x:color rgb="FFE4E9EE"/>
      </x:top>
      <x:bottom style="thin">
        <x:color rgb="FFE4E9EE"/>
      </x:bottom>
    </x:border>
    <x:border>
      <x:top style="thin">
        <x:color rgb="FFE4E9EE"/>
      </x:top>
      <x:bottom style="thin">
        <x:color rgb="FFCBD5DF"/>
      </x:bottom>
    </x:border>
    <x:border>
      <x:top style="thin">
        <x:color rgb="FFCBD5DF"/>
      </x:top>
      <x:bottom style="thin">
        <x:color rgb="FFCBD5DF"/>
      </x:bottom>
    </x:border>
    <x:border>
      <x:bottom style="thin">
        <x:color rgb="FFCBD5DF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6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6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0" fontId="2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/>
    <x:xf numFmtId="0" fontId="4" fillId="0" borderId="7" xfId="0" applyNumberFormat="1" applyFont="1" applyFill="1" applyBorder="1" applyAlignment="1">
      <x:alignment vertical="top"/>
    </x:xf>
    <x:xf numFmtId="202" fontId="4" fillId="0" borderId="7" xfId="0" applyNumberFormat="1" applyFont="1" applyFill="1" applyBorder="1" applyAlignment="1">
      <x:alignment vertical="top"/>
    </x:xf>
    <x:xf numFmtId="203" fontId="4" fillId="0" borderId="7" xfId="0" applyNumberFormat="1" applyFont="1" applyFill="1" applyBorder="1" applyAlignment="1">
      <x:alignment vertical="top"/>
    </x:xf>
    <x:xf numFmtId="204" fontId="4" fillId="0" borderId="3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205" fontId="4" fillId="0" borderId="3" xfId="0" applyNumberFormat="1" applyFont="1" applyFill="1" applyBorder="1" applyAlignment="1">
      <x:alignment vertical="top"/>
    </x:xf>
    <x:xf numFmtId="205" fontId="4" fillId="0" borderId="4" xfId="0" applyNumberFormat="1" applyFont="1" applyFill="1" applyBorder="1" applyAlignment="1">
      <x:alignment vertical="top"/>
    </x:xf>
    <x:xf numFmtId="205" fontId="4" fillId="0" borderId="5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202" fontId="4" fillId="0" borderId="3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6" fontId="4" fillId="0" borderId="3" xfId="0" applyNumberFormat="1" applyFont="1" applyFill="1" applyBorder="1" applyAlignment="1">
      <x:alignment vertical="top"/>
    </x:xf>
    <x:xf numFmtId="206" fontId="4" fillId="0" borderId="4" xfId="0" applyNumberFormat="1" applyFont="1" applyFill="1" applyBorder="1" applyAlignment="1">
      <x:alignment vertical="top"/>
    </x:xf>
    <x:xf numFmtId="206" fontId="4" fillId="0" borderId="5" xfId="0" applyNumberFormat="1" applyFont="1" applyFill="1" applyBorder="1" applyAlignment="1">
      <x:alignment vertical="top"/>
    </x:xf>
    <x:xf numFmtId="203" fontId="4" fillId="0" borderId="3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7" fontId="4" fillId="0" borderId="3" xfId="0" applyNumberFormat="1" applyFont="1" applyFill="1" applyBorder="1" applyAlignment="1">
      <x:alignment vertical="top"/>
    </x:xf>
    <x:xf numFmtId="207" fontId="4" fillId="0" borderId="4" xfId="0" applyNumberFormat="1" applyFont="1" applyFill="1" applyBorder="1" applyAlignment="1">
      <x:alignment vertical="top"/>
    </x:xf>
    <x:xf numFmtId="207" fontId="4" fillId="0" borderId="5" xfId="0" applyNumberFormat="1" applyFont="1" applyFill="1" applyBorder="1" applyAlignment="1">
      <x:alignment vertical="top"/>
    </x:xf>
    <x:xf numFmtId="208" fontId="4" fillId="0" borderId="3" xfId="0" applyNumberFormat="1" applyFont="1" applyFill="1" applyBorder="1" applyAlignment="1">
      <x:alignment vertical="top"/>
    </x:xf>
    <x:xf numFmtId="208" fontId="4" fillId="0" borderId="4" xfId="0" applyNumberFormat="1" applyFont="1" applyFill="1" applyBorder="1" applyAlignment="1">
      <x:alignment vertical="top"/>
    </x:xf>
    <x:xf numFmtId="208" fontId="4" fillId="0" borderId="5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c87fd36f340dd" /><Relationship Type="http://schemas.openxmlformats.org/officeDocument/2006/relationships/theme" Target="/xl/theme/theme1.xml" Id="Rb179272db0714450" /><Relationship Type="http://schemas.openxmlformats.org/officeDocument/2006/relationships/sharedStrings" Target="/xl/sharedStrings.xml" Id="R8ce35759279b4835" /><Relationship Type="http://schemas.openxmlformats.org/officeDocument/2006/relationships/worksheet" Target="/xl/worksheets/sheet1.xml" Id="Rfe8ed7ee462b4649" /><Relationship Type="http://schemas.openxmlformats.org/officeDocument/2006/relationships/worksheet" Target="/xl/worksheets/sheet2.xml" Id="R0c6ea534b2684789" /><Relationship Type="http://schemas.openxmlformats.org/officeDocument/2006/relationships/worksheet" Target="/xl/worksheets/sheet3.xml" Id="R745462732f3a4b37" /><Relationship Type="http://schemas.openxmlformats.org/officeDocument/2006/relationships/worksheet" Target="/xl/worksheets/sheet4.xml" Id="Rac8bb67d6fb841b0" /><Relationship Type="http://schemas.openxmlformats.org/officeDocument/2006/relationships/worksheet" Target="/xl/worksheets/sheet5.xml" Id="R311f02261cb042bf" /><Relationship Type="http://schemas.openxmlformats.org/officeDocument/2006/relationships/worksheet" Target="/xl/worksheets/sheet6.xml" Id="R8f3352fd192a48c2" /><Relationship Type="http://schemas.openxmlformats.org/officeDocument/2006/relationships/worksheet" Target="/xl/worksheets/sheet7.xml" Id="Rbbeb6cc8e55f4211" /><Relationship Type="http://schemas.openxmlformats.org/officeDocument/2006/relationships/worksheet" Target="/xl/worksheets/sheet8.xml" Id="R03264386cd2e4654" /><Relationship Type="http://schemas.openxmlformats.org/officeDocument/2006/relationships/worksheet" Target="/xl/worksheets/sheet9.xml" Id="R102c8b23765b41c4" /><Relationship Type="http://schemas.openxmlformats.org/officeDocument/2006/relationships/worksheet" Target="/xl/worksheets/sheet10.xml" Id="R3f1bc3f204534b26" /><Relationship Type="http://schemas.openxmlformats.org/officeDocument/2006/relationships/worksheet" Target="/xl/worksheets/sheet11.xml" Id="Rc6f373ea40b843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9c2ee42f1b4ac4" /><Relationship Type="http://schemas.openxmlformats.org/officeDocument/2006/relationships/chart" Target="/xl/drawings/charts/chart2.xml" Id="R765359823efe47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89eda71ad2849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Stagewise vs aggregate latency (ms)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Stagewise ms</c:v>
          </c:tx>
          <c:cat>
            <c:strRef>
              <c:f>'30_Compare'!$A$6:$A$9</c:f>
              <c:strCache>
                <c:ptCount val="0"/>
              </c:strCache>
            </c:strRef>
          </c:cat>
          <c:val>
            <c:numRef>
              <c:f>'30_Compare'!$B$6:$B$9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Aggregate ms</c:v>
          </c:tx>
          <c:cat>
            <c:strRef>
              <c:f>'30_Compare'!$A$6:$A$9</c:f>
              <c:strCache>
                <c:ptCount val="0"/>
              </c:strCache>
            </c:strRef>
          </c:cat>
          <c:val>
            <c:numRef>
              <c:f>'30_Compare'!$C$6:$C$9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Roofline scatter: AI vs effective TFLOP/s</a:t>
            </a:r>
          </a:p>
        </c:rich>
      </c:tx>
    </c:title>
    <c:plotArea>
      <c:scatterChart>
        <c:scatterStyle val="marker"/>
        <c:ser>
          <c:idx val="0"/>
          <c:order val="0"/>
          <c:tx>
            <c:v>Effective TFLOP/s</c:v>
          </c:tx>
          <c:xVal>
            <c:numLit>
              <c:formatCode>General</c:formatCode>
              <c:ptCount val="0"/>
            </c:numLit>
          </c:xVal>
          <c:yVal>
            <c:numRef>
              <c:f>'30_Compare'!$M$6:$M$9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Context sweep: decode ms and persistent state GiB</a:t>
            </a:r>
          </a:p>
        </c:rich>
      </c:tx>
    </c:title>
    <c:plotArea>
      <c:lineChart>
        <c:grouping val="standard"/>
        <c:ser>
          <c:idx val="0"/>
          <c:order val="0"/>
          <c:tx>
            <c:v>Attention decode ms</c:v>
          </c:tx>
          <c:marker>
            <c:symbol val="none"/>
          </c:marker>
          <c:cat>
            <c:strRef>
              <c:f>'40_Sweeps'!$A$6:$A$11</c:f>
              <c:strCache>
                <c:ptCount val="0"/>
              </c:strCache>
            </c:strRef>
          </c:cat>
          <c:val>
            <c:numRef>
              <c:f>'40_Sweeps'!$B$6:$B$11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HOPE decode ms</c:v>
          </c:tx>
          <c:marker>
            <c:symbol val="none"/>
          </c:marker>
          <c:cat>
            <c:strRef>
              <c:f>'40_Sweeps'!$A$6:$A$11</c:f>
              <c:strCache>
                <c:ptCount val="0"/>
              </c:strCache>
            </c:strRef>
          </c:cat>
          <c:val>
            <c:numRef>
              <c:f>'40_Sweeps'!$C$6:$C$11</c:f>
              <c:numCache>
                <c:formatCode>0.000000</c:formatCode>
                <c:ptCount val="0"/>
              </c:numCache>
            </c:numRef>
          </c:val>
        </c:ser>
        <c:ser>
          <c:idx val="2"/>
          <c:order val="2"/>
          <c:tx>
            <c:v>Attention state GiB</c:v>
          </c:tx>
          <c:marker>
            <c:symbol val="none"/>
          </c:marker>
          <c:cat>
            <c:strRef>
              <c:f>'40_Sweeps'!$A$6:$A$11</c:f>
              <c:strCache>
                <c:ptCount val="0"/>
              </c:strCache>
            </c:strRef>
          </c:cat>
          <c:val>
            <c:numRef>
              <c:f>'40_Sweeps'!$D$6:$D$11</c:f>
              <c:numCache>
                <c:formatCode>0.000000</c:formatCode>
                <c:ptCount val="0"/>
              </c:numCache>
            </c:numRef>
          </c:val>
        </c:ser>
        <c:ser>
          <c:idx val="3"/>
          <c:order val="3"/>
          <c:tx>
            <c:v>HOPE state GiB</c:v>
          </c:tx>
          <c:marker>
            <c:symbol val="none"/>
          </c:marker>
          <c:cat>
            <c:strRef>
              <c:f>'40_Sweeps'!$A$6:$A$11</c:f>
              <c:strCache>
                <c:ptCount val="0"/>
              </c:strCache>
            </c:strRef>
          </c:cat>
          <c:val>
            <c:numRef>
              <c:f>'40_Sweeps'!$E$6:$E$11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9c2ee42f1b4ac4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5359823efe47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3</xdr:row>
      <xdr:rowOff>0</xdr:rowOff>
    </xdr:from>
    <xdr:to>
      <xdr:col>30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eda71ad2849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ccd6ad35bb5345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49aba4c276f640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6" hidden="0" customWidth="1"/>
  </x:cols>
  <x:sheetData>
    <x:row r="1" ht="28" customHeight="1">
      <x:c r="A1" s="3" t="str">
        <x:v>Attn vs HOPE · reproducible workbook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Generated 11-tab companion to the verified E5 analytical engine.</x:v>
      </x:c>
      <x:c r="B2" s="7"/>
      <x:c r="C2" s="7"/>
      <x:c r="D2" s="7"/>
      <x:c r="E2" s="7"/>
      <x:c r="F2" s="7"/>
      <x:c r="G2" s="7"/>
      <x:c r="H2" s="7"/>
    </x:row>
    <x:row r="4">
      <x:c r="A4" s="14" t="str">
        <x:v>Topic</x:v>
      </x:c>
      <x:c r="B4" s="15" t="str">
        <x:v>Guidance</x:v>
      </x:c>
    </x:row>
    <x:row r="5">
      <x:c r="A5" s="20" t="str">
        <x:v>Purpose</x:v>
      </x:c>
      <x:c r="B5" s="23" t="str">
        <x:v>Formula-driven analytical companion; edit assumptions only in 01_Inputs and 02_HW.</x:v>
      </x:c>
    </x:row>
    <x:row r="6">
      <x:c r="A6" s="21" t="str">
        <x:v>Scope</x:v>
      </x:c>
      <x:c r="B6" s="24" t="str">
        <x:v>One full-attention + MoE block versus shipped-credible HOPE; analytical lower bounds, not measured wall clock.</x:v>
      </x:c>
    </x:row>
    <x:row r="7">
      <x:c r="A7" s="21" t="str">
        <x:v>Lineage</x:v>
      </x:c>
      <x:c r="B7" s="24" t="str">
        <x:v>results.json supplies raw assumptions and QA references. Calculation, comparison, and sweep cells are workbook formulas.</x:v>
      </x:c>
    </x:row>
    <x:row r="8">
      <x:c r="A8" s="21" t="str">
        <x:v>Live Sheet distinction</x:v>
      </x:c>
      <x:c r="B8" s="24" t="str">
        <x:v>This generated 11-tab workbook is separate from the user's native one-tab live Sheet archived under research/attn-vs-hope; that artifact is not modified.</x:v>
      </x:c>
    </x:row>
    <x:row r="9">
      <x:c r="A9" s="21" t="str">
        <x:v>Primary latency</x:v>
      </x:c>
      <x:c r="B9" s="24" t="str">
        <x:v>Stagewise sequential sum: Σ(max(compute, HBM) + launch). Aggregate roofline is an optimistic diagnostic.</x:v>
      </x:c>
    </x:row>
    <x:row r="10">
      <x:c r="A10" s="21" t="str">
        <x:v>HOPE timing</x:v>
      </x:c>
      <x:c r="B10" s="24" t="str">
        <x:v>Decode reports normal token, simultaneous boundary, and per-memory-period amortized timing.</x:v>
      </x:c>
    </x:row>
    <x:row r="11">
      <x:c r="A11" s="21" t="str">
        <x:v>HBM fit</x:v>
      </x:c>
      <x:c r="B11" s="24" t="str">
        <x:v>Persistent request state is compared with device HBM capacity; model weights and runtime workspace are outside this fit flag.</x:v>
      </x:c>
    </x:row>
    <x:row r="12">
      <x:c r="A12" s="21" t="str">
        <x:v>Charts</x:v>
      </x:c>
      <x:c r="B12" s="24" t="str">
        <x:v>Only three approved native charts: stagewise latency, roofline scatter, and context decode/state sweep.</x:v>
      </x:c>
    </x:row>
    <x:row r="13">
      <x:c r="A13" s="22" t="str">
        <x:v>Rebuild</x:v>
      </x:c>
      <x:c r="B13" s="25" t="str">
        <x:v>Run build_workbook.mjs with the bundled @oai/artifact-tool runtime. See DESKTOP-HANDOFF.md.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8" hidden="0" customWidth="1"/>
    <x:col min="5" max="5" width="48" hidden="0" customWidth="1"/>
    <x:col min="6" max="6" width="38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3" t="str">
        <x:v>01 · Model inputs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Editable/raw model assumptions imported from results.json. Derived values live only in formula sheets.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4" t="str">
        <x:v>Key</x:v>
      </x:c>
      <x:c r="B4" s="28" t="str">
        <x:v>Input</x:v>
      </x:c>
      <x:c r="C4" s="28" t="str">
        <x:v>Value</x:v>
      </x:c>
      <x:c r="D4" s="28" t="str">
        <x:v>Unit</x:v>
      </x:c>
      <x:c r="E4" s="28" t="str">
        <x:v>Engine path</x:v>
      </x:c>
      <x:c r="F4" s="15" t="str">
        <x:v>Notes</x:v>
      </x:c>
    </x:row>
    <x:row r="5">
      <x:c r="A5" s="20" t="str">
        <x:v>batch</x:v>
      </x:c>
      <x:c r="B5" s="20" t="str">
        <x:v>Batch</x:v>
      </x:c>
      <x:c r="C5" s="29" t="n">
        <x:v>32</x:v>
      </x:c>
      <x:c r="D5" s="20" t="str">
        <x:v>requests</x:v>
      </x:c>
      <x:c r="E5" s="20" t="str">
        <x:v>attention_moe.inputs.decode.batch</x:v>
      </x:c>
      <x:c r="F5" s="20" t="str">
        <x:v>Baseline request batch</x:v>
      </x:c>
    </x:row>
    <x:row r="6">
      <x:c r="A6" s="21" t="str">
        <x:v>prefill_query_tokens</x:v>
      </x:c>
      <x:c r="B6" s="21" t="str">
        <x:v>Prefill Q</x:v>
      </x:c>
      <x:c r="C6" s="30" t="n">
        <x:v>2048</x:v>
      </x:c>
      <x:c r="D6" s="21" t="str">
        <x:v>tokens/request</x:v>
      </x:c>
      <x:c r="E6" s="21" t="str">
        <x:v>attention_moe.inputs.prefill.query_tokens</x:v>
      </x:c>
      <x:c r="F6" s="21" t="str">
        <x:v>One causal chunk</x:v>
      </x:c>
    </x:row>
    <x:row r="7">
      <x:c r="A7" s="21" t="str">
        <x:v>prefill_context_tokens</x:v>
      </x:c>
      <x:c r="B7" s="21" t="str">
        <x:v>Prefill K</x:v>
      </x:c>
      <x:c r="C7" s="30" t="n">
        <x:v>2048</x:v>
      </x:c>
      <x:c r="D7" s="21" t="str">
        <x:v>tokens/request</x:v>
      </x:c>
      <x:c r="E7" s="21" t="str">
        <x:v>attention_moe.inputs.prefill.context_tokens</x:v>
      </x:c>
      <x:c r="F7" s="21" t="str">
        <x:v>Keys visible in chunk</x:v>
      </x:c>
    </x:row>
    <x:row r="8">
      <x:c r="A8" s="21" t="str">
        <x:v>decode_query_tokens</x:v>
      </x:c>
      <x:c r="B8" s="21" t="str">
        <x:v>Decode Q</x:v>
      </x:c>
      <x:c r="C8" s="30" t="n">
        <x:v>1</x:v>
      </x:c>
      <x:c r="D8" s="21" t="str">
        <x:v>tokens/request</x:v>
      </x:c>
      <x:c r="E8" s="21" t="str">
        <x:v>attention_moe.inputs.decode.query_tokens</x:v>
      </x:c>
      <x:c r="F8" s="21" t="str">
        <x:v>Exactly one token</x:v>
      </x:c>
    </x:row>
    <x:row r="9">
      <x:c r="A9" s="21" t="str">
        <x:v>decode_context_tokens</x:v>
      </x:c>
      <x:c r="B9" s="21" t="str">
        <x:v>Decode K</x:v>
      </x:c>
      <x:c r="C9" s="30" t="n">
        <x:v>131072</x:v>
      </x:c>
      <x:c r="D9" s="21" t="str">
        <x:v>tokens/request</x:v>
      </x:c>
      <x:c r="E9" s="21" t="str">
        <x:v>attention_moe.inputs.decode.context_tokens</x:v>
      </x:c>
      <x:c r="F9" s="21" t="str">
        <x:v>Current context</x:v>
      </x:c>
    </x:row>
    <x:row r="10">
      <x:c r="A10" s="21" t="str">
        <x:v>model_dim</x:v>
      </x:c>
      <x:c r="B10" s="21" t="str">
        <x:v>Model width D</x:v>
      </x:c>
      <x:c r="C10" s="30" t="n">
        <x:v>8192</x:v>
      </x:c>
      <x:c r="D10" s="21" t="str">
        <x:v>elements</x:v>
      </x:c>
      <x:c r="E10" s="21" t="str">
        <x:v>model_inputs.model_dim</x:v>
      </x:c>
      <x:c r="F10" s="21" t="str">
        <x:v>Shared model width</x:v>
      </x:c>
    </x:row>
    <x:row r="11">
      <x:c r="A11" s="21" t="str">
        <x:v>head_dim</x:v>
      </x:c>
      <x:c r="B11" s="21" t="str">
        <x:v>Head width d_h</x:v>
      </x:c>
      <x:c r="C11" s="30" t="n">
        <x:v>128</x:v>
      </x:c>
      <x:c r="D11" s="21" t="str">
        <x:v>elements</x:v>
      </x:c>
      <x:c r="E11" s="21" t="str">
        <x:v>model_inputs.head_dim</x:v>
      </x:c>
      <x:c r="F11" s="21" t="str">
        <x:v>Per-head width</x:v>
      </x:c>
    </x:row>
    <x:row r="12">
      <x:c r="A12" s="21" t="str">
        <x:v>query_heads</x:v>
      </x:c>
      <x:c r="B12" s="21" t="str">
        <x:v>Query heads H_q</x:v>
      </x:c>
      <x:c r="C12" s="30" t="n">
        <x:v>64</x:v>
      </x:c>
      <x:c r="D12" s="21" t="str">
        <x:v>heads</x:v>
      </x:c>
      <x:c r="E12" s="21" t="str">
        <x:v>attention_moe.inputs.decode.query_heads</x:v>
      </x:c>
      <x:c r="F12" s="21" t="str">
        <x:v>D / d_h</x:v>
      </x:c>
    </x:row>
    <x:row r="13">
      <x:c r="A13" s="21" t="str">
        <x:v>kv_heads</x:v>
      </x:c>
      <x:c r="B13" s="21" t="str">
        <x:v>KV heads H_kv</x:v>
      </x:c>
      <x:c r="C13" s="30" t="n">
        <x:v>64</x:v>
      </x:c>
      <x:c r="D13" s="21" t="str">
        <x:v>heads</x:v>
      </x:c>
      <x:c r="E13" s="21" t="str">
        <x:v>attention_moe.inputs.decode.kv_heads</x:v>
      </x:c>
      <x:c r="F13" s="21" t="str">
        <x:v>No GQA in baseline</x:v>
      </x:c>
    </x:row>
    <x:row r="14">
      <x:c r="A14" s="21" t="str">
        <x:v>activation_bytes</x:v>
      </x:c>
      <x:c r="B14" s="21" t="str">
        <x:v>Activation bytes</x:v>
      </x:c>
      <x:c r="C14" s="30" t="n">
        <x:v>1</x:v>
      </x:c>
      <x:c r="D14" s="21" t="str">
        <x:v>B/element</x:v>
      </x:c>
      <x:c r="E14" s="21" t="str">
        <x:v>attention_moe.inputs.decode.activation_bytes</x:v>
      </x:c>
      <x:c r="F14" s="21" t="str">
        <x:v>HBM element width</x:v>
      </x:c>
    </x:row>
    <x:row r="15">
      <x:c r="A15" s="21" t="str">
        <x:v>weight_bytes</x:v>
      </x:c>
      <x:c r="B15" s="21" t="str">
        <x:v>Static-weight bytes</x:v>
      </x:c>
      <x:c r="C15" s="30" t="n">
        <x:v>1</x:v>
      </x:c>
      <x:c r="D15" s="21" t="str">
        <x:v>B/element</x:v>
      </x:c>
      <x:c r="E15" s="21" t="str">
        <x:v>attention_moe.inputs.decode.weight_bytes</x:v>
      </x:c>
      <x:c r="F15" s="21" t="str">
        <x:v>HBM element width</x:v>
      </x:c>
    </x:row>
    <x:row r="16">
      <x:c r="A16" s="21" t="str">
        <x:v>kv_bytes</x:v>
      </x:c>
      <x:c r="B16" s="21" t="str">
        <x:v>KV bytes</x:v>
      </x:c>
      <x:c r="C16" s="30" t="n">
        <x:v>1</x:v>
      </x:c>
      <x:c r="D16" s="21" t="str">
        <x:v>B/element</x:v>
      </x:c>
      <x:c r="E16" s="21" t="str">
        <x:v>attention_moe.inputs.decode.kv_bytes</x:v>
      </x:c>
      <x:c r="F16" s="21" t="str">
        <x:v>Cache element width</x:v>
      </x:c>
    </x:row>
    <x:row r="17">
      <x:c r="A17" s="21" t="str">
        <x:v>partial_bytes</x:v>
      </x:c>
      <x:c r="B17" s="21" t="str">
        <x:v>Partial-output bytes</x:v>
      </x:c>
      <x:c r="C17" s="30" t="n">
        <x:v>4</x:v>
      </x:c>
      <x:c r="D17" s="21" t="str">
        <x:v>B/element</x:v>
      </x:c>
      <x:c r="E17" s="21" t="str">
        <x:v>attention_moe.inputs.decode.partial_bytes</x:v>
      </x:c>
      <x:c r="F17" s="21" t="str">
        <x:v>Flash-Decode partial</x:v>
      </x:c>
    </x:row>
    <x:row r="18">
      <x:c r="A18" s="21" t="str">
        <x:v>lse_bytes</x:v>
      </x:c>
      <x:c r="B18" s="21" t="str">
        <x:v>LSE bytes</x:v>
      </x:c>
      <x:c r="C18" s="30" t="n">
        <x:v>4</x:v>
      </x:c>
      <x:c r="D18" s="21" t="str">
        <x:v>B/scalar</x:v>
      </x:c>
      <x:c r="E18" s="21" t="str">
        <x:v>attention_moe.inputs.decode.lse_bytes</x:v>
      </x:c>
      <x:c r="F18" s="21" t="str">
        <x:v>Flash-Decode LSE</x:v>
      </x:c>
    </x:row>
    <x:row r="19">
      <x:c r="A19" s="21" t="str">
        <x:v>decode_splits</x:v>
      </x:c>
      <x:c r="B19" s="21" t="str">
        <x:v>Decode KV splits G</x:v>
      </x:c>
      <x:c r="C19" s="30" t="n">
        <x:v>64</x:v>
      </x:c>
      <x:c r="D19" s="21" t="str">
        <x:v>splits</x:v>
      </x:c>
      <x:c r="E19" s="21" t="str">
        <x:v>attention_moe.inputs.decode.decode_splits</x:v>
      </x:c>
      <x:c r="F19" s="21" t="str">
        <x:v>ceil(K / split tokens)</x:v>
      </x:c>
    </x:row>
    <x:row r="20">
      <x:c r="A20" s="21" t="str">
        <x:v>kv_split_tokens</x:v>
      </x:c>
      <x:c r="B20" s="21" t="str">
        <x:v>Tokens per KV split</x:v>
      </x:c>
      <x:c r="C20" s="30" t="n">
        <x:v>2048</x:v>
      </x:c>
      <x:c r="D20" s="21" t="str">
        <x:v>tokens</x:v>
      </x:c>
      <x:c r="E20" s="21" t="str">
        <x:v>model_inputs.kv_split_tokens</x:v>
      </x:c>
      <x:c r="F20" s="21" t="str">
        <x:v>Sweep split rule</x:v>
      </x:c>
    </x:row>
    <x:row r="21">
      <x:c r="A21" s="21" t="str">
        <x:v>kv_reload_multiplier</x:v>
      </x:c>
      <x:c r="B21" s="21" t="str">
        <x:v>KV reload multiplier</x:v>
      </x:c>
      <x:c r="C21" s="30" t="n">
        <x:v>1</x:v>
      </x:c>
      <x:c r="D21" s="21" t="str">
        <x:v>x</x:v>
      </x:c>
      <x:c r="E21" s="21" t="str">
        <x:v>attention_moe.inputs.decode.kv_reload_multiplier</x:v>
      </x:c>
      <x:c r="F21" s="21" t="str">
        <x:v>Ideal lower bound = 1</x:v>
      </x:c>
    </x:row>
    <x:row r="22">
      <x:c r="A22" s="21" t="str">
        <x:v>softmax_flops_per_pair</x:v>
      </x:c>
      <x:c r="B22" s="21" t="str">
        <x:v>Softmax FLOPs/pair</x:v>
      </x:c>
      <x:c r="C22" s="30" t="n">
        <x:v>5</x:v>
      </x:c>
      <x:c r="D22" s="21" t="str">
        <x:v>FLOP/pair</x:v>
      </x:c>
      <x:c r="E22" s="21" t="str">
        <x:v>attention_moe.inputs.decode.softmax_flops_per_pair</x:v>
      </x:c>
      <x:c r="F22" s="21" t="str">
        <x:v>Explicit input</x:v>
      </x:c>
    </x:row>
    <x:row r="23">
      <x:c r="A23" s="21" t="str">
        <x:v>experts</x:v>
      </x:c>
      <x:c r="B23" s="21" t="str">
        <x:v>Experts E</x:v>
      </x:c>
      <x:c r="C23" s="30" t="n">
        <x:v>128</x:v>
      </x:c>
      <x:c r="D23" s="21" t="str">
        <x:v>experts</x:v>
      </x:c>
      <x:c r="E23" s="21" t="str">
        <x:v>model_inputs.experts</x:v>
      </x:c>
      <x:c r="F23" s="21" t="str">
        <x:v>MoE pool</x:v>
      </x:c>
    </x:row>
    <x:row r="24">
      <x:c r="A24" s="21" t="str">
        <x:v>top_k</x:v>
      </x:c>
      <x:c r="B24" s="21" t="str">
        <x:v>Top-k r</x:v>
      </x:c>
      <x:c r="C24" s="30" t="n">
        <x:v>1</x:v>
      </x:c>
      <x:c r="D24" s="21" t="str">
        <x:v>experts/token</x:v>
      </x:c>
      <x:c r="E24" s="21" t="str">
        <x:v>model_inputs.top_k</x:v>
      </x:c>
      <x:c r="F24" s="21" t="str">
        <x:v>Routing multiplicity</x:v>
      </x:c>
    </x:row>
    <x:row r="25">
      <x:c r="A25" s="21" t="str">
        <x:v>expert_hidden_dim</x:v>
      </x:c>
      <x:c r="B25" s="21" t="str">
        <x:v>Expert hidden F</x:v>
      </x:c>
      <x:c r="C25" s="30" t="n">
        <x:v>16384</x:v>
      </x:c>
      <x:c r="D25" s="21" t="str">
        <x:v>elements</x:v>
      </x:c>
      <x:c r="E25" s="21" t="str">
        <x:v>model_inputs.expert_hidden_dim</x:v>
      </x:c>
      <x:c r="F25" s="21" t="str">
        <x:v>SwiGLU width</x:v>
      </x:c>
    </x:row>
    <x:row r="26">
      <x:c r="A26" s="21" t="str">
        <x:v>expert_matrices</x:v>
      </x:c>
      <x:c r="B26" s="21" t="str">
        <x:v>Expert matrices</x:v>
      </x:c>
      <x:c r="C26" s="30" t="n">
        <x:v>3</x:v>
      </x:c>
      <x:c r="D26" s="21" t="str">
        <x:v>matrices</x:v>
      </x:c>
      <x:c r="E26" s="21" t="str">
        <x:v>attention_moe.inputs.decode.expert_matrices</x:v>
      </x:c>
      <x:c r="F26" s="21" t="str">
        <x:v>3 = SwiGLU</x:v>
      </x:c>
    </x:row>
    <x:row r="27">
      <x:c r="A27" s="21" t="str">
        <x:v>router_flops_per_token_expert</x:v>
      </x:c>
      <x:c r="B27" s="21" t="str">
        <x:v>Router selection cost</x:v>
      </x:c>
      <x:c r="C27" s="30" t="n">
        <x:v>1</x:v>
      </x:c>
      <x:c r="D27" s="21" t="str">
        <x:v>FLOP/token/expert</x:v>
      </x:c>
      <x:c r="E27" s="21" t="str">
        <x:v>attention_moe.inputs.decode.router_flops_per_token_expert</x:v>
      </x:c>
      <x:c r="F27" s="21" t="str">
        <x:v>Beyond router GEMM</x:v>
      </x:c>
    </x:row>
    <x:row r="28">
      <x:c r="A28" s="21" t="str">
        <x:v>routing_metadata_bytes</x:v>
      </x:c>
      <x:c r="B28" s="21" t="str">
        <x:v>Routing metadata</x:v>
      </x:c>
      <x:c r="C28" s="30" t="n">
        <x:v>8</x:v>
      </x:c>
      <x:c r="D28" s="21" t="str">
        <x:v>B/route</x:v>
      </x:c>
      <x:c r="E28" s="21" t="str">
        <x:v>model.py: routing_metadata_bytes</x:v>
      </x:c>
      <x:c r="F28" s="21" t="str">
        <x:v>Visible engine convention</x:v>
      </x:c>
    </x:row>
    <x:row r="29">
      <x:c r="A29" s="21" t="str">
        <x:v>active_unique_experts</x:v>
      </x:c>
      <x:c r="B29" s="21" t="str">
        <x:v>Active-expert override</x:v>
      </x:c>
      <x:c r="C29" s="30" t="n">
        <x:v>0</x:v>
      </x:c>
      <x:c r="D29" s="21" t="str">
        <x:v>experts</x:v>
      </x:c>
      <x:c r="E29" s="21" t="str">
        <x:v>attention_moe.inputs.decode.active_unique_experts</x:v>
      </x:c>
      <x:c r="F29" s="21" t="str">
        <x:v>0 = uniform expectation</x:v>
      </x:c>
    </x:row>
    <x:row r="30">
      <x:c r="A30" s="21" t="str">
        <x:v>expert_hbm_fraction</x:v>
      </x:c>
      <x:c r="B30" s="21" t="str">
        <x:v>Expert HBM fraction</x:v>
      </x:c>
      <x:c r="C30" s="30" t="n">
        <x:v>1</x:v>
      </x:c>
      <x:c r="D30" s="21" t="str">
        <x:v>fraction</x:v>
      </x:c>
      <x:c r="E30" s="21" t="str">
        <x:v>attention_moe.inputs.decode.expert_hbm_fraction</x:v>
      </x:c>
      <x:c r="F30" s="21" t="str">
        <x:v>Residency sensitivity</x:v>
      </x:c>
    </x:row>
    <x:row r="31">
      <x:c r="A31" s="21" t="str">
        <x:v>compute_efficiency</x:v>
      </x:c>
      <x:c r="B31" s="21" t="str">
        <x:v>Compute efficiency</x:v>
      </x:c>
      <x:c r="C31" s="30" t="n">
        <x:v>1</x:v>
      </x:c>
      <x:c r="D31" s="21" t="str">
        <x:v>fraction</x:v>
      </x:c>
      <x:c r="E31" s="21" t="str">
        <x:v>attention_moe.inputs.decode.compute_efficiency</x:v>
      </x:c>
      <x:c r="F31" s="21" t="str">
        <x:v>Stage default</x:v>
      </x:c>
    </x:row>
    <x:row r="32">
      <x:c r="A32" s="21" t="str">
        <x:v>bandwidth_efficiency</x:v>
      </x:c>
      <x:c r="B32" s="21" t="str">
        <x:v>Bandwidth efficiency</x:v>
      </x:c>
      <x:c r="C32" s="30" t="n">
        <x:v>1</x:v>
      </x:c>
      <x:c r="D32" s="21" t="str">
        <x:v>fraction</x:v>
      </x:c>
      <x:c r="E32" s="21" t="str">
        <x:v>attention_moe.inputs.decode.bandwidth_efficiency</x:v>
      </x:c>
      <x:c r="F32" s="21" t="str">
        <x:v>Stage default</x:v>
      </x:c>
    </x:row>
    <x:row r="33">
      <x:c r="A33" s="21" t="str">
        <x:v>expert_activation_flops</x:v>
      </x:c>
      <x:c r="B33" s="21" t="str">
        <x:v>Expert activation FLOPs</x:v>
      </x:c>
      <x:c r="C33" s="30" t="n">
        <x:v>4</x:v>
      </x:c>
      <x:c r="D33" s="21" t="str">
        <x:v>FLOP/element</x:v>
      </x:c>
      <x:c r="E33" s="21" t="str">
        <x:v>model_inputs.expert_activation_flops_per_element</x:v>
      </x:c>
      <x:c r="F33" s="21" t="str">
        <x:v>SwiGLU elementwise</x:v>
      </x:c>
    </x:row>
    <x:row r="34">
      <x:c r="A34" s="21" t="str">
        <x:v>fuse_expert_intermediates</x:v>
      </x:c>
      <x:c r="B34" s="21" t="str">
        <x:v>Fuse expert intermediates</x:v>
      </x:c>
      <x:c r="C34" s="30" t="n">
        <x:v>0</x:v>
      </x:c>
      <x:c r="D34" s="21" t="str">
        <x:v>0/1</x:v>
      </x:c>
      <x:c r="E34" s="21" t="str">
        <x:v>model_inputs.fuse_expert_intermediates</x:v>
      </x:c>
      <x:c r="F34" s="21" t="str">
        <x:v>1 removes internal HBM traffic</x:v>
      </x:c>
    </x:row>
    <x:row r="35">
      <x:c r="A35" s="21" t="str">
        <x:v>state_bytes</x:v>
      </x:c>
      <x:c r="B35" s="21" t="str">
        <x:v>Mutable-state bytes</x:v>
      </x:c>
      <x:c r="C35" s="30" t="n">
        <x:v>1</x:v>
      </x:c>
      <x:c r="D35" s="21" t="str">
        <x:v>B/element</x:v>
      </x:c>
      <x:c r="E35" s="21" t="str">
        <x:v>hope_scenarios.shipped_credible_momentum.inputs.decode.state_bytes</x:v>
      </x:c>
      <x:c r="F35" s="21" t="str">
        <x:v>Fast weights</x:v>
      </x:c>
    </x:row>
    <x:row r="36">
      <x:c r="A36" s="21" t="str">
        <x:v>optimizer_bytes</x:v>
      </x:c>
      <x:c r="B36" s="21" t="str">
        <x:v>Optimizer bytes</x:v>
      </x:c>
      <x:c r="C36" s="30" t="n">
        <x:v>4</x:v>
      </x:c>
      <x:c r="D36" s="21" t="str">
        <x:v>B/element</x:v>
      </x:c>
      <x:c r="E36" s="21" t="str">
        <x:v>hope_scenarios.shipped_credible_momentum.inputs.decode.optimizer_bytes</x:v>
      </x:c>
      <x:c r="F36" s="21" t="str">
        <x:v>Gradient/slot width</x:v>
      </x:c>
    </x:row>
    <x:row r="37">
      <x:c r="A37" s="21" t="str">
        <x:v>sigma_flops</x:v>
      </x:c>
      <x:c r="B37" s="21" t="str">
        <x:v>Sigma FLOPs/hidden</x:v>
      </x:c>
      <x:c r="C37" s="30" t="n">
        <x:v>4</x:v>
      </x:c>
      <x:c r="D37" s="21" t="str">
        <x:v>FLOP/hidden</x:v>
      </x:c>
      <x:c r="E37" s="21" t="str">
        <x:v>hope_scenarios.shipped_credible_momentum.inputs.decode.sigma_flops_per_hidden</x:v>
      </x:c>
      <x:c r="F37" s="21" t="str">
        <x:v>Shipped-credible scenario</x:v>
      </x:c>
    </x:row>
    <x:row r="38">
      <x:c r="A38" s="21" t="str">
        <x:v>residual_flops</x:v>
      </x:c>
      <x:c r="B38" s="21" t="str">
        <x:v>Residual FLOPs/output</x:v>
      </x:c>
      <x:c r="C38" s="30" t="n">
        <x:v>1</x:v>
      </x:c>
      <x:c r="D38" s="21" t="str">
        <x:v>FLOP/output</x:v>
      </x:c>
      <x:c r="E38" s="21" t="str">
        <x:v>hope_scenarios.shipped_credible_momentum.inputs.decode.residual_flops_per_output</x:v>
      </x:c>
      <x:c r="F38" s="21" t="str">
        <x:v>Shipped-credible scenario</x:v>
      </x:c>
    </x:row>
    <x:row r="39">
      <x:c r="A39" s="21" t="str">
        <x:v>chunk_cache_bytes</x:v>
      </x:c>
      <x:c r="B39" s="21" t="str">
        <x:v>Chunk cache/request</x:v>
      </x:c>
      <x:c r="C39" s="30" t="n">
        <x:v>0</x:v>
      </x:c>
      <x:c r="D39" s="21" t="str">
        <x:v>B/request</x:v>
      </x:c>
      <x:c r="E39" s="21" t="str">
        <x:v>hope_scenarios.shipped_credible_momentum.inputs.decode.chunk_cache_bytes_per_request</x:v>
      </x:c>
      <x:c r="F39" s="21" t="str">
        <x:v>Persistent request cache</x:v>
      </x:c>
    </x:row>
    <x:row r="40">
      <x:c r="A40" s="21" t="str">
        <x:v>prefill_position</x:v>
      </x:c>
      <x:c r="B40" s="21" t="str">
        <x:v>Prefill position p</x:v>
      </x:c>
      <x:c r="C40" s="30" t="n">
        <x:v>0</x:v>
      </x:c>
      <x:c r="D40" s="21" t="str">
        <x:v>tokens</x:v>
      </x:c>
      <x:c r="E40" s="21" t="str">
        <x:v>hope_scenarios.shipped_credible_momentum.inputs.prefill.position</x:v>
      </x:c>
      <x:c r="F40" s="21" t="str">
        <x:v>Boundary-count origin</x:v>
      </x:c>
    </x:row>
    <x:row r="41">
      <x:c r="A41" s="21" t="str">
        <x:v>decode_position</x:v>
      </x:c>
      <x:c r="B41" s="21" t="str">
        <x:v>Decode position p</x:v>
      </x:c>
      <x:c r="C41" s="30" t="n">
        <x:v>0</x:v>
      </x:c>
      <x:c r="D41" s="21" t="str">
        <x:v>tokens</x:v>
      </x:c>
      <x:c r="E41" s="21" t="str">
        <x:v>hope_scenarios.shipped_credible_momentum.inputs.decode.position</x:v>
      </x:c>
      <x:c r="F41" s="21" t="str">
        <x:v>Timing sheet uses explicit modes</x:v>
      </x:c>
    </x:row>
    <x:row r="42">
      <x:c r="A42" s="21" t="str">
        <x:v>main_memory_chunk</x:v>
      </x:c>
      <x:c r="B42" s="21" t="str">
        <x:v>Main-memory chunk</x:v>
      </x:c>
      <x:c r="C42" s="30" t="n">
        <x:v>2048</x:v>
      </x:c>
      <x:c r="D42" s="21" t="str">
        <x:v>tokens</x:v>
      </x:c>
      <x:c r="E42" s="21" t="str">
        <x:v>model_inputs.main_memory_chunk</x:v>
      </x:c>
      <x:c r="F42" s="21" t="str">
        <x:v>M_mem period</x:v>
      </x:c>
    </x:row>
    <x:row r="43">
      <x:c r="A43" s="22" t="str">
        <x:v>aux_memory_chunk</x:v>
      </x:c>
      <x:c r="B43" s="22" t="str">
        <x:v>Aux-memory chunk</x:v>
      </x:c>
      <x:c r="C43" s="31" t="n">
        <x:v>2048</x:v>
      </x:c>
      <x:c r="D43" s="22" t="str">
        <x:v>tokens</x:v>
      </x:c>
      <x:c r="E43" s="22" t="str">
        <x:v>model_inputs.aux_memory_chunk</x:v>
      </x:c>
      <x:c r="F43" s="22" t="str">
        <x:v>M_k/v/eta/alpha period</x:v>
      </x:c>
    </x:row>
    <x:row r="47">
      <x:c r="A47" s="39" t="str">
        <x:v>Memory</x:v>
      </x:c>
      <x:c r="B47" s="40" t="str">
        <x:v>Input dim I</x:v>
      </x:c>
      <x:c r="C47" s="40" t="str">
        <x:v>Hidden H</x:v>
      </x:c>
      <x:c r="D47" s="40" t="str">
        <x:v>Output O</x:v>
      </x:c>
      <x:c r="E47" s="40" t="str">
        <x:v>Update chunk</x:v>
      </x:c>
      <x:c r="F47" s="40" t="str">
        <x:v>Momentum slots</x:v>
      </x:c>
      <x:c r="G47" s="40" t="str">
        <x:v>Update multiplier μ</x:v>
      </x:c>
      <x:c r="H47" s="41" t="str">
        <x:v>State read count</x:v>
      </x:c>
    </x:row>
    <x:row r="48">
      <x:c r="A48" s="20" t="str">
        <x:v>M_k</x:v>
      </x:c>
      <x:c r="B48" s="20" t="n">
        <x:v>8192</x:v>
      </x:c>
      <x:c r="C48" s="20" t="n">
        <x:v>8192</x:v>
      </x:c>
      <x:c r="D48" s="20" t="n">
        <x:v>8192</x:v>
      </x:c>
      <x:c r="E48" s="20" t="n">
        <x:v>2048</x:v>
      </x:c>
      <x:c r="F48" s="20" t="n">
        <x:v>1</x:v>
      </x:c>
      <x:c r="G48" s="20" t="n">
        <x:v>4</x:v>
      </x:c>
      <x:c r="H48" s="20" t="n">
        <x:v>1</x:v>
      </x:c>
    </x:row>
    <x:row r="49">
      <x:c r="A49" s="21" t="str">
        <x:v>M_v</x:v>
      </x:c>
      <x:c r="B49" s="21" t="n">
        <x:v>8192</x:v>
      </x:c>
      <x:c r="C49" s="21" t="n">
        <x:v>8192</x:v>
      </x:c>
      <x:c r="D49" s="21" t="n">
        <x:v>8192</x:v>
      </x:c>
      <x:c r="E49" s="21" t="n">
        <x:v>2048</x:v>
      </x:c>
      <x:c r="F49" s="21" t="n">
        <x:v>1</x:v>
      </x:c>
      <x:c r="G49" s="21" t="n">
        <x:v>4</x:v>
      </x:c>
      <x:c r="H49" s="21" t="n">
        <x:v>1</x:v>
      </x:c>
    </x:row>
    <x:row r="50">
      <x:c r="A50" s="21" t="str">
        <x:v>M_eta</x:v>
      </x:c>
      <x:c r="B50" s="21" t="n">
        <x:v>8192</x:v>
      </x:c>
      <x:c r="C50" s="21" t="n">
        <x:v>8192</x:v>
      </x:c>
      <x:c r="D50" s="21" t="n">
        <x:v>1</x:v>
      </x:c>
      <x:c r="E50" s="21" t="n">
        <x:v>2048</x:v>
      </x:c>
      <x:c r="F50" s="21" t="n">
        <x:v>1</x:v>
      </x:c>
      <x:c r="G50" s="21" t="n">
        <x:v>4</x:v>
      </x:c>
      <x:c r="H50" s="21" t="n">
        <x:v>1</x:v>
      </x:c>
    </x:row>
    <x:row r="51">
      <x:c r="A51" s="21" t="str">
        <x:v>M_alpha</x:v>
      </x:c>
      <x:c r="B51" s="21" t="n">
        <x:v>8192</x:v>
      </x:c>
      <x:c r="C51" s="21" t="n">
        <x:v>8192</x:v>
      </x:c>
      <x:c r="D51" s="21" t="n">
        <x:v>1</x:v>
      </x:c>
      <x:c r="E51" s="21" t="n">
        <x:v>2048</x:v>
      </x:c>
      <x:c r="F51" s="21" t="n">
        <x:v>1</x:v>
      </x:c>
      <x:c r="G51" s="21" t="n">
        <x:v>4</x:v>
      </x:c>
      <x:c r="H51" s="21" t="n">
        <x:v>1</x:v>
      </x:c>
    </x:row>
    <x:row r="52">
      <x:c r="A52" s="22" t="str">
        <x:v>M_mem</x:v>
      </x:c>
      <x:c r="B52" s="22" t="n">
        <x:v>8192</x:v>
      </x:c>
      <x:c r="C52" s="22" t="n">
        <x:v>8192</x:v>
      </x:c>
      <x:c r="D52" s="22" t="n">
        <x:v>8192</x:v>
      </x:c>
      <x:c r="E52" s="22" t="n">
        <x:v>2048</x:v>
      </x:c>
      <x:c r="F52" s="22" t="n">
        <x:v>1</x:v>
      </x:c>
      <x:c r="G52" s="22" t="n">
        <x:v>4</x:v>
      </x:c>
      <x:c r="H52" s="22" t="n">
        <x:v>1</x:v>
      </x:c>
    </x:row>
    <x:row r="56">
      <x:c r="A56" s="39" t="str">
        <x:v>CMS level</x:v>
      </x:c>
      <x:c r="B56" s="40" t="str">
        <x:v>Input dim I</x:v>
      </x:c>
      <x:c r="C56" s="40" t="str">
        <x:v>Hidden H</x:v>
      </x:c>
      <x:c r="D56" s="40" t="str">
        <x:v>Output O</x:v>
      </x:c>
      <x:c r="E56" s="40" t="str">
        <x:v>Update period</x:v>
      </x:c>
      <x:c r="F56" s="40" t="str">
        <x:v>BPTT span</x:v>
      </x:c>
      <x:c r="G56" s="40" t="str">
        <x:v>Optimizer slots</x:v>
      </x:c>
      <x:c r="H56" s="40" t="str">
        <x:v>Personalized (0/1)</x:v>
      </x:c>
      <x:c r="I56" s="41" t="str">
        <x:v>Gradient multiplier</x:v>
      </x:c>
    </x:row>
    <x:row r="57">
      <x:c r="A57" s="20" t="str">
        <x:v>cms_l1</x:v>
      </x:c>
      <x:c r="B57" s="20" t="n">
        <x:v>8192</x:v>
      </x:c>
      <x:c r="C57" s="20" t="n">
        <x:v>4096</x:v>
      </x:c>
      <x:c r="D57" s="20" t="n">
        <x:v>8192</x:v>
      </x:c>
      <x:c r="E57" s="20" t="n">
        <x:v>1000</x:v>
      </x:c>
      <x:c r="F57" s="20" t="n">
        <x:v>4</x:v>
      </x:c>
      <x:c r="G57" s="20" t="n">
        <x:v>0</x:v>
      </x:c>
      <x:c r="H57" s="20" t="n">
        <x:v>1</x:v>
      </x:c>
      <x:c r="I57" s="20" t="n">
        <x:v>1</x:v>
      </x:c>
    </x:row>
    <x:row r="58">
      <x:c r="A58" s="21" t="str">
        <x:v>cms_l2</x:v>
      </x:c>
      <x:c r="B58" s="21" t="n">
        <x:v>8192</x:v>
      </x:c>
      <x:c r="C58" s="21" t="n">
        <x:v>8192</x:v>
      </x:c>
      <x:c r="D58" s="21" t="n">
        <x:v>8192</x:v>
      </x:c>
      <x:c r="E58" s="21" t="n">
        <x:v>5000</x:v>
      </x:c>
      <x:c r="F58" s="21" t="n">
        <x:v>4</x:v>
      </x:c>
      <x:c r="G58" s="21" t="n">
        <x:v>0</x:v>
      </x:c>
      <x:c r="H58" s="21" t="n">
        <x:v>1</x:v>
      </x:c>
      <x:c r="I58" s="21" t="n">
        <x:v>1</x:v>
      </x:c>
    </x:row>
    <x:row r="59">
      <x:c r="A59" s="22" t="str">
        <x:v>cms_l3</x:v>
      </x:c>
      <x:c r="B59" s="22" t="n">
        <x:v>8192</x:v>
      </x:c>
      <x:c r="C59" s="22" t="n">
        <x:v>16384</x:v>
      </x:c>
      <x:c r="D59" s="22" t="n">
        <x:v>8192</x:v>
      </x:c>
      <x:c r="E59" s="22" t="n">
        <x:v>10000</x:v>
      </x:c>
      <x:c r="F59" s="22" t="n">
        <x:v>4</x:v>
      </x:c>
      <x:c r="G59" s="22" t="n">
        <x:v>0</x:v>
      </x:c>
      <x:c r="H59" s="22" t="n">
        <x:v>1</x:v>
      </x:c>
      <x:c r="I59" s="22" t="n">
        <x:v>1</x:v>
      </x:c>
    </x:row>
    <x:row r="63">
      <x:c r="A63" s="50" t="str">
        <x:v>Sweep</x:v>
      </x:c>
      <x:c r="B63" s="51" t="n">
        <x:v>1024</x:v>
      </x:c>
      <x:c r="C63" s="51" t="n">
        <x:v>4096</x:v>
      </x:c>
      <x:c r="D63" s="51" t="n">
        <x:v>16384</x:v>
      </x:c>
      <x:c r="E63" s="51" t="n">
        <x:v>65536</x:v>
      </x:c>
      <x:c r="F63" s="51" t="n">
        <x:v>131072</x:v>
      </x:c>
      <x:c r="G63" s="52" t="n">
        <x:v>262144</x:v>
      </x:c>
    </x:row>
    <x:row r="64">
      <x:c r="A64" s="20" t="str">
        <x:v>Context tokens</x:v>
      </x:c>
      <x:c r="B64" s="20" t="n">
        <x:v>1024</x:v>
      </x:c>
      <x:c r="C64" s="20" t="n">
        <x:v>4096</x:v>
      </x:c>
      <x:c r="D64" s="20" t="n">
        <x:v>16384</x:v>
      </x:c>
      <x:c r="E64" s="20" t="n">
        <x:v>65536</x:v>
      </x:c>
      <x:c r="F64" s="20" t="n">
        <x:v>131072</x:v>
      </x:c>
      <x:c r="G64" s="20" t="n">
        <x:v>262144</x:v>
      </x:c>
    </x:row>
    <x:row r="65">
      <x:c r="A65" s="22" t="str">
        <x:v>Batch</x:v>
      </x:c>
      <x:c r="B65" s="22" t="n">
        <x:v>1</x:v>
      </x:c>
      <x:c r="C65" s="22" t="n">
        <x:v>2</x:v>
      </x:c>
      <x:c r="D65" s="22" t="n">
        <x:v>4</x:v>
      </x:c>
      <x:c r="E65" s="22" t="n">
        <x:v>8</x:v>
      </x:c>
      <x:c r="F65" s="22" t="n">
        <x:v>16</x:v>
      </x:c>
      <x:c r="G65" s="22" t="n">
        <x:v>32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2" hidden="0" customWidth="1"/>
    <x:col min="4" max="4" width="16" hidden="0" customWidth="1"/>
    <x:col min="5" max="5" width="44" hidden="0" customWidth="1"/>
    <x:col min="6" max="6" width="44" hidden="0" customWidth="1"/>
  </x:cols>
  <x:sheetData>
    <x:row r="1" ht="28" customHeight="1">
      <x:c r="A1" s="3" t="str">
        <x:v>02 · Hardware anchor</x:v>
      </x:c>
      <x:c r="B1" s="3"/>
      <x:c r="C1" s="3"/>
      <x:c r="D1" s="3"/>
      <x:c r="E1" s="3"/>
      <x:c r="F1" s="3"/>
    </x:row>
    <x:row r="2" ht="28" customHeight="1">
      <x:c r="A2" s="7" t="str">
        <x:v>Repository-twin H100 values and visible unit conversions. Calculation sheets reference these cells; no hardware constants are embedded in formulas.</x:v>
      </x:c>
      <x:c r="B2" s="7"/>
      <x:c r="C2" s="7"/>
      <x:c r="D2" s="7"/>
      <x:c r="E2" s="7"/>
      <x:c r="F2" s="7"/>
    </x:row>
    <x:row r="4">
      <x:c r="A4" s="14" t="str">
        <x:v>Key</x:v>
      </x:c>
      <x:c r="B4" s="28" t="str">
        <x:v>Hardware/input</x:v>
      </x:c>
      <x:c r="C4" s="28" t="str">
        <x:v>Value</x:v>
      </x:c>
      <x:c r="D4" s="28" t="str">
        <x:v>Unit</x:v>
      </x:c>
      <x:c r="E4" s="28" t="str">
        <x:v>Engine path</x:v>
      </x:c>
      <x:c r="F4" s="15" t="str">
        <x:v>Evidence</x:v>
      </x:c>
    </x:row>
    <x:row r="5">
      <x:c r="A5" s="20" t="str">
        <x:v>name</x:v>
      </x:c>
      <x:c r="B5" s="20" t="str">
        <x:v>Hardware</x:v>
      </x:c>
      <x:c r="C5" s="53" t="str">
        <x:v>NVIDIA H100 SXM5 (repository twin)</x:v>
      </x:c>
      <x:c r="D5" s="20" t="str">
        <x:v>text</x:v>
      </x:c>
      <x:c r="E5" s="20" t="str">
        <x:v>hardware.name</x:v>
      </x:c>
      <x:c r="F5" s="20" t="str">
        <x:v>Repository twin</x:v>
      </x:c>
    </x:row>
    <x:row r="6">
      <x:c r="A6" s="21" t="str">
        <x:v>peak_flops</x:v>
      </x:c>
      <x:c r="B6" s="21" t="str">
        <x:v>Peak compute</x:v>
      </x:c>
      <x:c r="C6" s="54" t="n">
        <x:v>989472000000000</x:v>
      </x:c>
      <x:c r="D6" s="21" t="str">
        <x:v>FLOP/s</x:v>
      </x:c>
      <x:c r="E6" s="21" t="str">
        <x:v>hardware.peak_flops_per_second</x:v>
      </x:c>
      <x:c r="F6" s="21" t="str">
        <x:v>2 FLOP/MAC * instances * peak_macs_per_s</x:v>
      </x:c>
    </x:row>
    <x:row r="7">
      <x:c r="A7" s="21" t="str">
        <x:v>hbm_bandwidth</x:v>
      </x:c>
      <x:c r="B7" s="21" t="str">
        <x:v>HBM bandwidth</x:v>
      </x:c>
      <x:c r="C7" s="54" t="n">
        <x:v>3350000000000</x:v>
      </x:c>
      <x:c r="D7" s="21" t="str">
        <x:v>B/s</x:v>
      </x:c>
      <x:c r="E7" s="21" t="str">
        <x:v>hardware.hbm_bandwidth_bytes_per_second</x:v>
      </x:c>
      <x:c r="F7" s="21" t="str">
        <x:v>Shared read/write interface</x:v>
      </x:c>
    </x:row>
    <x:row r="8">
      <x:c r="A8" s="21" t="str">
        <x:v>hbm_capacity</x:v>
      </x:c>
      <x:c r="B8" s="21" t="str">
        <x:v>HBM capacity</x:v>
      </x:c>
      <x:c r="C8" s="54" t="n">
        <x:v>85899345920</x:v>
      </x:c>
      <x:c r="D8" s="21" t="str">
        <x:v>B</x:v>
      </x:c>
      <x:c r="E8" s="21" t="str">
        <x:v>hardware.hbm_capacity_bytes</x:v>
      </x:c>
      <x:c r="F8" s="21" t="str">
        <x:v>Fit threshold</x:v>
      </x:c>
    </x:row>
    <x:row r="9">
      <x:c r="A9" s="21" t="str">
        <x:v>launch_seconds</x:v>
      </x:c>
      <x:c r="B9" s="21" t="str">
        <x:v>Kernel launch overhead</x:v>
      </x:c>
      <x:c r="C9" s="54" t="n">
        <x:v>0</x:v>
      </x:c>
      <x:c r="D9" s="21" t="str">
        <x:v>s/execution</x:v>
      </x:c>
      <x:c r="E9" s="21" t="str">
        <x:v>hardware.kernel_launch_overhead_seconds</x:v>
      </x:c>
      <x:c r="F9" s="21" t="str">
        <x:v>Zero: twin publishes no constant</x:v>
      </x:c>
    </x:row>
    <x:row r="10">
      <x:c r="A10" s="21" t="str">
        <x:v>ms_per_second</x:v>
      </x:c>
      <x:c r="B10" s="21" t="str">
        <x:v>Milliseconds per second</x:v>
      </x:c>
      <x:c r="C10" s="54" t="n">
        <x:v>1000</x:v>
      </x:c>
      <x:c r="D10" s="21" t="str">
        <x:v>ms/s</x:v>
      </x:c>
      <x:c r="E10" s="21" t="str">
        <x:v>unit conversion</x:v>
      </x:c>
      <x:c r="F10" s="21" t="str">
        <x:v>Visible unit conversion</x:v>
      </x:c>
    </x:row>
    <x:row r="11">
      <x:c r="A11" s="21" t="str">
        <x:v>bytes_per_gib</x:v>
      </x:c>
      <x:c r="B11" s="21" t="str">
        <x:v>Bytes per GiB</x:v>
      </x:c>
      <x:c r="C11" s="54" t="n">
        <x:v>1073741824</x:v>
      </x:c>
      <x:c r="D11" s="21" t="str">
        <x:v>B/GiB</x:v>
      </x:c>
      <x:c r="E11" s="21" t="str">
        <x:v>unit conversion</x:v>
      </x:c>
      <x:c r="F11" s="21" t="str">
        <x:v>2^30</x:v>
      </x:c>
    </x:row>
    <x:row r="12">
      <x:c r="A12" s="22" t="str">
        <x:v>flops_per_tflop</x:v>
      </x:c>
      <x:c r="B12" s="22" t="str">
        <x:v>FLOPs per TFLOP</x:v>
      </x:c>
      <x:c r="C12" s="55" t="n">
        <x:v>1000000000000</x:v>
      </x:c>
      <x:c r="D12" s="22" t="str">
        <x:v>FLOP/TFLOP</x:v>
      </x:c>
      <x:c r="E12" s="22" t="str">
        <x:v>unit conversion</x:v>
      </x:c>
      <x:c r="F12" s="22" t="str">
        <x:v>10^12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27" hidden="0" customWidth="1"/>
    <x:col min="5" max="5" width="3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  <x:col min="19" max="19" width="42" hidden="0" customWidth="1"/>
  </x:cols>
  <x:sheetData>
    <x:row r="1" ht="28" customHeight="1">
      <x:c r="A1" s="3" t="str">
        <x:v>10 · Attention + MoE prefill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58" t="str">
        <x:v>Total FLOPs</x:v>
      </x:c>
      <x:c r="B2" s="59" t="str">
        <x:v>HBM read B</x:v>
      </x:c>
      <x:c r="C2" s="59" t="str">
        <x:v>HBM write B</x:v>
      </x:c>
      <x:c r="D2" s="59" t="str">
        <x:v>HBM total B</x:v>
      </x:c>
      <x:c r="E2" s="59" t="str">
        <x:v>Persistent state B</x:v>
      </x:c>
      <x:c r="F2" s="59" t="str">
        <x:v>AI FLOP/B</x:v>
      </x:c>
      <x:c r="G2" s="59" t="str">
        <x:v>Aggregate compute ms</x:v>
      </x:c>
      <x:c r="H2" s="59" t="str">
        <x:v>Aggregate HBM ms</x:v>
      </x:c>
      <x:c r="I2" s="59" t="str">
        <x:v>Aggregate latency ms</x:v>
      </x:c>
      <x:c r="J2" s="59" t="str">
        <x:v>Stagewise latency ms</x:v>
      </x:c>
      <x:c r="K2" s="59" t="str">
        <x:v>Bound</x:v>
      </x:c>
      <x:c r="L2" s="59" t="str">
        <x:v>HBM fit</x:v>
      </x:c>
      <x:c r="M2" s="59" t="str">
        <x:v>Ridge AI</x:v>
      </x:c>
      <x:c r="N2" s="60" t="str">
        <x:v>Ridge class</x:v>
      </x:c>
      <x:c r="O2" s="71"/>
      <x:c r="P2" s="71"/>
      <x:c r="Q2" s="71"/>
      <x:c r="R2" s="71"/>
      <x:c r="S2" s="71"/>
    </x:row>
    <x:row r="3">
      <x:c r="A3" s="63" t="n">
        <x:f>SUM(G6:G17)+0*('01_Inputs'!$C$5)</x:f>
        <x:v>90324254851072</x:v>
      </x:c>
      <x:c r="B3" s="63" t="n">
        <x:f>SUM(K6:K17)+0*('01_Inputs'!$C$5)</x:f>
        <x:v>60399550464</x:v>
      </x:c>
      <x:c r="C3" s="63" t="n">
        <x:f>SUM(L6:L17)+0*('01_Inputs'!$C$5)</x:f>
        <x:v>7516717056</x:v>
      </x:c>
      <x:c r="D3" s="63" t="n">
        <x:f>SUM(K6:L17)+0*('01_Inputs'!$C$5)</x:f>
        <x:v>67916267520</x:v>
      </x:c>
      <x:c r="E3" s="63" t="n">
        <x:f>SUM(M6:M17)+0*('01_Inputs'!$C$5)</x:f>
        <x:v>1073741824</x:v>
      </x:c>
      <x:c r="F3" s="64" t="n">
        <x:f>IF(SUM(K6:L17)=0,"",SUM(G6:G17)/SUM(K6:L17)+0*('01_Inputs'!$C$5))</x:f>
        <x:v>1329.9354948278524</x:v>
      </x:c>
      <x:c r="G3" s="64" t="n">
        <x:f>SUM(O6:O17)+0*('01_Inputs'!$C$5)</x:f>
        <x:v>91.28530655852009</x:v>
      </x:c>
      <x:c r="H3" s="64" t="n">
        <x:f>SUM(P6:P17)+0*('01_Inputs'!$C$5)</x:f>
        <x:v>20.273512692537313</x:v>
      </x:c>
      <x:c r="I3" s="64" t="n">
        <x:f>MAX(SUM(O6:O17),SUM(P6:P17))+0*('01_Inputs'!$C$5)</x:f>
        <x:v>91.28530655852009</x:v>
      </x:c>
      <x:c r="J3" s="64" t="n">
        <x:f>SUM(Q6:Q17)+0*('01_Inputs'!$C$5)</x:f>
        <x:v>93.38632175616647</x:v>
      </x:c>
      <x:c r="K3" s="62" t="str">
        <x:f>IF(SUM(O6:O17)&gt;SUM(P6:P17),"compute",IF(SUM(P6:P17)&gt;SUM(O6:O17),"memory","balanced"))&amp;IF('01_Inputs'!$C$5&gt;0,"","")</x:f>
        <x:v>compute</x:v>
      </x:c>
      <x:c r="L3" s="62" t="str">
        <x:f>IF(SUM(M6:M17)&lt;='02_HW'!$C$8,"FIT","EXCEEDS")&amp;IF('01_Inputs'!$C$5&gt;0,"","")</x:f>
        <x:v>FIT</x:v>
      </x:c>
      <x:c r="M3" s="64" t="n">
        <x:f>'02_HW'!$C$6/'02_HW'!$C$7+0*('01_Inputs'!$C$5)</x:f>
        <x:v>295.36477611940296</x:v>
      </x:c>
      <x:c r="N3" s="62" t="str">
        <x:f>IF(F3&gt;=M3,"compute-side","memory-side")&amp;IF('01_Inputs'!$C$5&gt;0,"","")</x:f>
        <x:v>compute-side</x:v>
      </x:c>
      <x:c r="O3" s="72"/>
      <x:c r="P3" s="72"/>
      <x:c r="Q3" s="72"/>
      <x:c r="R3" s="72"/>
      <x:c r="S3" s="72"/>
    </x:row>
    <x:row r="5" ht="34" customHeight="1">
      <x:c r="A5" s="14" t="str">
        <x:v>Order</x:v>
      </x:c>
      <x:c r="B5" s="28" t="str">
        <x:v>Phase</x:v>
      </x:c>
      <x:c r="C5" s="28" t="str">
        <x:v>Component</x:v>
      </x:c>
      <x:c r="D5" s="28" t="str">
        <x:v>Stage</x:v>
      </x:c>
      <x:c r="E5" s="28" t="str">
        <x:v>Symbolic equation</x:v>
      </x:c>
      <x:c r="F5" s="28" t="str">
        <x:v>Executions/cadence</x:v>
      </x:c>
      <x:c r="G5" s="28" t="str">
        <x:v>FLOPs</x:v>
      </x:c>
      <x:c r="H5" s="28" t="str">
        <x:v>Required read B</x:v>
      </x:c>
      <x:c r="I5" s="28" t="str">
        <x:v>Mandatory write B</x:v>
      </x:c>
      <x:c r="J5" s="28" t="str">
        <x:v>Temporary/fusible write B</x:v>
      </x:c>
      <x:c r="K5" s="28" t="str">
        <x:v>Effective read B</x:v>
      </x:c>
      <x:c r="L5" s="28" t="str">
        <x:v>Effective write B</x:v>
      </x:c>
      <x:c r="M5" s="28" t="str">
        <x:v>Persistent state B</x:v>
      </x:c>
      <x:c r="N5" s="28" t="str">
        <x:v>AI</x:v>
      </x:c>
      <x:c r="O5" s="28" t="str">
        <x:v>Compute ms</x:v>
      </x:c>
      <x:c r="P5" s="28" t="str">
        <x:v>HBM ms</x:v>
      </x:c>
      <x:c r="Q5" s="28" t="str">
        <x:v>Roofline ms</x:v>
      </x:c>
      <x:c r="R5" s="28" t="str">
        <x:v>Bound</x:v>
      </x:c>
      <x:c r="S5" s="15" t="str">
        <x:v>Evidence/assumption</x:v>
      </x:c>
    </x:row>
    <x:row r="6">
      <x:c r="A6" s="20" t="n">
        <x:f>ROW()-5+0*('01_Inputs'!$C$5)</x:f>
        <x:v>1</x:v>
      </x:c>
      <x:c r="B6" s="20" t="str">
        <x:v>prefill</x:v>
      </x:c>
      <x:c r="C6" s="20" t="str">
        <x:v>attention</x:v>
      </x:c>
      <x:c r="D6" s="20" t="str">
        <x:v>qkv_projection</x:v>
      </x:c>
      <x:c r="E6" s="23" t="str">
        <x:v>2ND(Dq+2Dkv)</x:v>
      </x:c>
      <x:c r="F6" s="65" t="n">
        <x:f>(1+0*'01_Inputs'!$C$5)</x:f>
        <x:v>1</x:v>
      </x:c>
      <x:c r="G6" s="68" t="n">
        <x:f>(2*((('01_Inputs'!$C$5)*('01_Inputs'!$C$6)))*('01_Inputs'!$C$10)*(((('01_Inputs'!$C$12)*('01_Inputs'!$C$11)))+2*((('01_Inputs'!$C$13)*('01_Inputs'!$C$11)))))</x:f>
        <x:v>26388279066624</x:v>
      </x:c>
      <x:c r="H6" s="68" t="n">
        <x:f>(((('01_Inputs'!$C$5)*('01_Inputs'!$C$6)))*('01_Inputs'!$C$10)*('01_Inputs'!$C$14)+('01_Inputs'!$C$10)*(((('01_Inputs'!$C$12)*('01_Inputs'!$C$11)))+2*((('01_Inputs'!$C$13)*('01_Inputs'!$C$11))))*('01_Inputs'!$C$15))</x:f>
        <x:v>738197504</x:v>
      </x:c>
      <x:c r="I6" s="68" t="n">
        <x:f>(0*'01_Inputs'!$C$5)</x:f>
        <x:v>0</x:v>
      </x:c>
      <x:c r="J6" s="68" t="n">
        <x:f>(((('01_Inputs'!$C$5)*('01_Inputs'!$C$6)))*((('01_Inputs'!$C$12)*('01_Inputs'!$C$11)))*('01_Inputs'!$C$14))</x:f>
        <x:v>536870912</x:v>
      </x:c>
      <x:c r="K6" s="68" t="n">
        <x:f>((1+0*'01_Inputs'!$C$5))*((((('01_Inputs'!$C$5)*('01_Inputs'!$C$6)))*('01_Inputs'!$C$10)*('01_Inputs'!$C$14)+('01_Inputs'!$C$10)*(((('01_Inputs'!$C$12)*('01_Inputs'!$C$11)))+2*((('01_Inputs'!$C$13)*('01_Inputs'!$C$11))))*('01_Inputs'!$C$15)))+0*('01_Inputs'!$C$5)</x:f>
        <x:v>738197504</x:v>
      </x:c>
      <x:c r="L6" s="68" t="n">
        <x:f>((1+0*'01_Inputs'!$C$5))*(((0*'01_Inputs'!$C$5))+((((('01_Inputs'!$C$5)*('01_Inputs'!$C$6)))*((('01_Inputs'!$C$12)*('01_Inputs'!$C$11)))*('01_Inputs'!$C$14))))+0*('01_Inputs'!$C$5)</x:f>
        <x:v>536870912</x:v>
      </x:c>
      <x:c r="M6" s="68" t="n">
        <x:f>(0*'01_Inputs'!$C$5)</x:f>
        <x:v>0</x:v>
      </x:c>
      <x:c r="N6" s="65" t="n">
        <x:f>IF((((1+0*'01_Inputs'!$C$5))*(((((('01_Inputs'!$C$5)*('01_Inputs'!$C$6)))*('01_Inputs'!$C$10)*('01_Inputs'!$C$14)+('01_Inputs'!$C$10)*(((('01_Inputs'!$C$12)*('01_Inputs'!$C$11)))+2*((('01_Inputs'!$C$13)*('01_Inputs'!$C$11))))*('01_Inputs'!$C$15)))+((0*'01_Inputs'!$C$5))+((((('01_Inputs'!$C$5)*('01_Inputs'!$C$6)))*((('01_Inputs'!$C$12)*('01_Inputs'!$C$11)))*('01_Inputs'!$C$14)))))=0,"",(((1+0*'01_Inputs'!$C$5))*((2*((('01_Inputs'!$C$5)*('01_Inputs'!$C$6)))*('01_Inputs'!$C$10)*(((('01_Inputs'!$C$12)*('01_Inputs'!$C$11)))+2*((('01_Inputs'!$C$13)*('01_Inputs'!$C$11)))))))/((((1+0*'01_Inputs'!$C$5))*(((((('01_Inputs'!$C$5)*('01_Inputs'!$C$6)))*('01_Inputs'!$C$10)*('01_Inputs'!$C$14)+('01_Inputs'!$C$10)*(((('01_Inputs'!$C$12)*('01_Inputs'!$C$11)))+2*((('01_Inputs'!$C$13)*('01_Inputs'!$C$11))))*('01_Inputs'!$C$15)))+((0*'01_Inputs'!$C$5))+((((('01_Inputs'!$C$5)*('01_Inputs'!$C$6)))*((('01_Inputs'!$C$12)*('01_Inputs'!$C$11)))*('01_Inputs'!$C$14))))))+0*('01_Inputs'!$C$5))</x:f>
        <x:v>20695.57894736842</x:v>
      </x:c>
      <x:c r="O6" s="65" t="n">
        <x:f>(((1+0*'01_Inputs'!$C$5))*((2*((('01_Inputs'!$C$5)*('01_Inputs'!$C$6)))*('01_Inputs'!$C$10)*(((('01_Inputs'!$C$12)*('01_Inputs'!$C$11)))+2*((('01_Inputs'!$C$13)*('01_Inputs'!$C$11))))))/(('01_Inputs'!$C$31)*('02_HW'!$C$6))*('02_HW'!$C$10))</x:f>
        <x:v>26.66905083380227</x:v>
      </x:c>
      <x:c r="P6" s="65" t="n">
        <x:f>(((1+0*'01_Inputs'!$C$5))*(((((('01_Inputs'!$C$5)*('01_Inputs'!$C$6)))*('01_Inputs'!$C$10)*('01_Inputs'!$C$14)+('01_Inputs'!$C$10)*(((('01_Inputs'!$C$12)*('01_Inputs'!$C$11)))+2*((('01_Inputs'!$C$13)*('01_Inputs'!$C$11))))*('01_Inputs'!$C$15)))+((0*'01_Inputs'!$C$5))+((((('01_Inputs'!$C$5)*('01_Inputs'!$C$6)))*((('01_Inputs'!$C$12)*('01_Inputs'!$C$11)))*('01_Inputs'!$C$14))))/(('01_Inputs'!$C$32)*('02_HW'!$C$7))*('02_HW'!$C$10))</x:f>
        <x:v>0.38061743761194033</x:v>
      </x:c>
      <x:c r="Q6" s="65" t="n">
        <x:f>(MAX((((1+0*'01_Inputs'!$C$5))*((2*((('01_Inputs'!$C$5)*('01_Inputs'!$C$6)))*('01_Inputs'!$C$10)*(((('01_Inputs'!$C$12)*('01_Inputs'!$C$11)))+2*((('01_Inputs'!$C$13)*('01_Inputs'!$C$11))))))/(('01_Inputs'!$C$31)*('02_HW'!$C$6))*('02_HW'!$C$10)),(((1+0*'01_Inputs'!$C$5))*(((((('01_Inputs'!$C$5)*('01_Inputs'!$C$6)))*('01_Inputs'!$C$10)*('01_Inputs'!$C$14)+('01_Inputs'!$C$10)*(((('01_Inputs'!$C$12)*('01_Inputs'!$C$11)))+2*((('01_Inputs'!$C$13)*('01_Inputs'!$C$11))))*('01_Inputs'!$C$15)))+((0*'01_Inputs'!$C$5))+((((('01_Inputs'!$C$5)*('01_Inputs'!$C$6)))*((('01_Inputs'!$C$12)*('01_Inputs'!$C$11)))*('01_Inputs'!$C$14))))/(('01_Inputs'!$C$32)*('02_HW'!$C$7))*('02_HW'!$C$10)))+((1+0*'01_Inputs'!$C$5))*('02_HW'!$C$9)*('02_HW'!$C$10))</x:f>
        <x:v>26.66905083380227</x:v>
      </x:c>
      <x:c r="R6" s="20" t="str">
        <x:f>IF(O6&gt;P6,"compute",IF(P6&gt;O6,"memory","balanced"))&amp;IF('01_Inputs'!$C$5&gt;0,"","")</x:f>
        <x:v>compute</x:v>
      </x:c>
      <x:c r="S6" s="23" t="str">
        <x:v>Explicit Q materialization; K/V append follows.</x:v>
      </x:c>
    </x:row>
    <x:row r="7">
      <x:c r="A7" s="21" t="n">
        <x:f>ROW()-5+0*('01_Inputs'!$C$5)</x:f>
        <x:v>2</x:v>
      </x:c>
      <x:c r="B7" s="21" t="str">
        <x:v>prefill</x:v>
      </x:c>
      <x:c r="C7" s="21" t="str">
        <x:v>attention</x:v>
      </x:c>
      <x:c r="D7" s="21" t="str">
        <x:v>kv_cache_append</x:v>
      </x:c>
      <x:c r="E7" s="24" t="str">
        <x:v>2BQDkv bkv</x:v>
      </x:c>
      <x:c r="F7" s="66" t="n">
        <x:f>(1+0*'01_Inputs'!$C$5)</x:f>
        <x:v>1</x:v>
      </x:c>
      <x:c r="G7" s="69" t="n">
        <x:f>(0*'01_Inputs'!$C$5)</x:f>
        <x:v>0</x:v>
      </x:c>
      <x:c r="H7" s="69" t="n">
        <x:f>(0*'01_Inputs'!$C$5)</x:f>
        <x:v>0</x:v>
      </x:c>
      <x:c r="I7" s="69" t="n">
        <x:f>(2*((('01_Inputs'!$C$5)*('01_Inputs'!$C$6)))*((('01_Inputs'!$C$13)*('01_Inputs'!$C$11)))*('01_Inputs'!$C$16))</x:f>
        <x:v>1073741824</x:v>
      </x:c>
      <x:c r="J7" s="69" t="n">
        <x:f>(0*'01_Inputs'!$C$5)</x:f>
        <x:v>0</x:v>
      </x:c>
      <x:c r="K7" s="69" t="n">
        <x:f>((1+0*'01_Inputs'!$C$5))*((0*'01_Inputs'!$C$5))+0*('01_Inputs'!$C$5)</x:f>
        <x:v>0</x:v>
      </x:c>
      <x:c r="L7" s="69" t="n">
        <x:f>((1+0*'01_Inputs'!$C$5))*(((2*((('01_Inputs'!$C$5)*('01_Inputs'!$C$6)))*((('01_Inputs'!$C$13)*('01_Inputs'!$C$11)))*('01_Inputs'!$C$16)))+((0*'01_Inputs'!$C$5)))+0*('01_Inputs'!$C$5)</x:f>
        <x:v>1073741824</x:v>
      </x:c>
      <x:c r="M7" s="69" t="n">
        <x:f>(2*('01_Inputs'!$C$5)*('01_Inputs'!$C$7)*((('01_Inputs'!$C$13)*('01_Inputs'!$C$11)))*('01_Inputs'!$C$16))</x:f>
        <x:v>1073741824</x:v>
      </x:c>
      <x:c r="N7" s="66" t="n">
        <x:f>IF((((1+0*'01_Inputs'!$C$5))*(((0*'01_Inputs'!$C$5))+((2*((('01_Inputs'!$C$5)*('01_Inputs'!$C$6)))*((('01_Inputs'!$C$13)*('01_Inputs'!$C$11)))*('01_Inputs'!$C$16)))+((0*'01_Inputs'!$C$5))))=0,"",(((1+0*'01_Inputs'!$C$5))*((0*'01_Inputs'!$C$5)))/((((1+0*'01_Inputs'!$C$5))*(((0*'01_Inputs'!$C$5))+((2*((('01_Inputs'!$C$5)*('01_Inputs'!$C$6)))*((('01_Inputs'!$C$13)*('01_Inputs'!$C$11)))*('01_Inputs'!$C$16)))+((0*'01_Inputs'!$C$5)))))+0*('01_Inputs'!$C$5))</x:f>
        <x:v>0</x:v>
      </x:c>
      <x:c r="O7" s="66" t="n">
        <x:f>(((1+0*'01_Inputs'!$C$5))*((0*'01_Inputs'!$C$5))/(('01_Inputs'!$C$31)*('02_HW'!$C$6))*('02_HW'!$C$10))</x:f>
        <x:v>0</x:v>
      </x:c>
      <x:c r="P7" s="66" t="n">
        <x:f>(((1+0*'01_Inputs'!$C$5))*(((0*'01_Inputs'!$C$5))+((2*((('01_Inputs'!$C$5)*('01_Inputs'!$C$6)))*((('01_Inputs'!$C$13)*('01_Inputs'!$C$11)))*('01_Inputs'!$C$16)))+((0*'01_Inputs'!$C$5)))/(('01_Inputs'!$C$32)*('02_HW'!$C$7))*('02_HW'!$C$10))</x:f>
        <x:v>0.3205199474626865</x:v>
      </x:c>
      <x:c r="Q7" s="66" t="n">
        <x:f>(MAX((((1+0*'01_Inputs'!$C$5))*((0*'01_Inputs'!$C$5))/(('01_Inputs'!$C$31)*('02_HW'!$C$6))*('02_HW'!$C$10)),(((1+0*'01_Inputs'!$C$5))*(((0*'01_Inputs'!$C$5))+((2*((('01_Inputs'!$C$5)*('01_Inputs'!$C$6)))*((('01_Inputs'!$C$13)*('01_Inputs'!$C$11)))*('01_Inputs'!$C$16)))+((0*'01_Inputs'!$C$5)))/(('01_Inputs'!$C$32)*('02_HW'!$C$7))*('02_HW'!$C$10)))+((1+0*'01_Inputs'!$C$5))*('02_HW'!$C$9)*('02_HW'!$C$10))</x:f>
        <x:v>0.3205199474626865</x:v>
      </x:c>
      <x:c r="R7" s="21" t="str">
        <x:f>IF(O7&gt;P7,"compute",IF(P7&gt;O7,"memory","balanced"))&amp;IF('01_Inputs'!$C$5&gt;0,"","")</x:f>
        <x:v>memory</x:v>
      </x:c>
      <x:c r="S7" s="24" t="str">
        <x:v>Append is invocation-local; state is full KV residency.</x:v>
      </x:c>
    </x:row>
    <x:row r="8">
      <x:c r="A8" s="21" t="n">
        <x:f>ROW()-5+0*('01_Inputs'!$C$5)</x:f>
        <x:v>3</x:v>
      </x:c>
      <x:c r="B8" s="21" t="str">
        <x:v>prefill</x:v>
      </x:c>
      <x:c r="C8" s="21" t="str">
        <x:v>attention</x:v>
      </x:c>
      <x:c r="D8" s="21" t="str">
        <x:v>q_materialization_read</x:v>
      </x:c>
      <x:c r="E8" s="24" t="str">
        <x:v>NDq ba</x:v>
      </x:c>
      <x:c r="F8" s="66" t="n">
        <x:f>(1+0*'01_Inputs'!$C$5)</x:f>
        <x:v>1</x:v>
      </x:c>
      <x:c r="G8" s="69" t="n">
        <x:f>(0*'01_Inputs'!$C$5)</x:f>
        <x:v>0</x:v>
      </x:c>
      <x:c r="H8" s="69" t="n">
        <x:f>(((('01_Inputs'!$C$5)*('01_Inputs'!$C$6)))*((('01_Inputs'!$C$12)*('01_Inputs'!$C$11)))*('01_Inputs'!$C$14))</x:f>
        <x:v>536870912</x:v>
      </x:c>
      <x:c r="I8" s="69" t="n">
        <x:f>(0*'01_Inputs'!$C$5)</x:f>
        <x:v>0</x:v>
      </x:c>
      <x:c r="J8" s="69" t="n">
        <x:f>(0*'01_Inputs'!$C$5)</x:f>
        <x:v>0</x:v>
      </x:c>
      <x:c r="K8" s="69" t="n">
        <x:f>((1+0*'01_Inputs'!$C$5))*((((('01_Inputs'!$C$5)*('01_Inputs'!$C$6)))*((('01_Inputs'!$C$12)*('01_Inputs'!$C$11)))*('01_Inputs'!$C$14)))+0*('01_Inputs'!$C$5)</x:f>
        <x:v>536870912</x:v>
      </x:c>
      <x:c r="L8" s="69" t="n">
        <x:f>((1+0*'01_Inputs'!$C$5))*(((0*'01_Inputs'!$C$5))+((0*'01_Inputs'!$C$5)))+0*('01_Inputs'!$C$5)</x:f>
        <x:v>0</x:v>
      </x:c>
      <x:c r="M8" s="69" t="n">
        <x:f>(0*'01_Inputs'!$C$5)</x:f>
        <x:v>0</x:v>
      </x:c>
      <x:c r="N8" s="66" t="n">
        <x:f>IF((((1+0*'01_Inputs'!$C$5))*(((((('01_Inputs'!$C$5)*('01_Inputs'!$C$6)))*((('01_Inputs'!$C$12)*('01_Inputs'!$C$11)))*('01_Inputs'!$C$14)))+((0*'01_Inputs'!$C$5))+((0*'01_Inputs'!$C$5))))=0,"",(((1+0*'01_Inputs'!$C$5))*((0*'01_Inputs'!$C$5)))/((((1+0*'01_Inputs'!$C$5))*(((((('01_Inputs'!$C$5)*('01_Inputs'!$C$6)))*((('01_Inputs'!$C$12)*('01_Inputs'!$C$11)))*('01_Inputs'!$C$14)))+((0*'01_Inputs'!$C$5))+((0*'01_Inputs'!$C$5)))))+0*('01_Inputs'!$C$5))</x:f>
        <x:v>0</x:v>
      </x:c>
      <x:c r="O8" s="66" t="n">
        <x:f>(((1+0*'01_Inputs'!$C$5))*((0*'01_Inputs'!$C$5))/(('01_Inputs'!$C$31)*('02_HW'!$C$6))*('02_HW'!$C$10))</x:f>
        <x:v>0</x:v>
      </x:c>
      <x:c r="P8" s="66" t="n">
        <x:f>(((1+0*'01_Inputs'!$C$5))*(((((('01_Inputs'!$C$5)*('01_Inputs'!$C$6)))*((('01_Inputs'!$C$12)*('01_Inputs'!$C$11)))*('01_Inputs'!$C$14)))+((0*'01_Inputs'!$C$5))+((0*'01_Inputs'!$C$5)))/(('01_Inputs'!$C$32)*('02_HW'!$C$7))*('02_HW'!$C$10))</x:f>
        <x:v>0.16025997373134326</x:v>
      </x:c>
      <x:c r="Q8" s="66" t="n">
        <x:f>(MAX((((1+0*'01_Inputs'!$C$5))*((0*'01_Inputs'!$C$5))/(('01_Inputs'!$C$31)*('02_HW'!$C$6))*('02_HW'!$C$10)),(((1+0*'01_Inputs'!$C$5))*(((((('01_Inputs'!$C$5)*('01_Inputs'!$C$6)))*((('01_Inputs'!$C$12)*('01_Inputs'!$C$11)))*('01_Inputs'!$C$14)))+((0*'01_Inputs'!$C$5))+((0*'01_Inputs'!$C$5)))/(('01_Inputs'!$C$32)*('02_HW'!$C$7))*('02_HW'!$C$10)))+((1+0*'01_Inputs'!$C$5))*('02_HW'!$C$9)*('02_HW'!$C$10))</x:f>
        <x:v>0.16025997373134326</x:v>
      </x:c>
      <x:c r="R8" s="21" t="str">
        <x:f>IF(O8&gt;P8,"compute",IF(P8&gt;O8,"memory","balanced"))&amp;IF('01_Inputs'!$C$5&gt;0,"","")</x:f>
        <x:v>memory</x:v>
      </x:c>
      <x:c r="S8" s="24" t="str">
        <x:v>Fusible Q read remains explicit.</x:v>
      </x:c>
    </x:row>
    <x:row r="9">
      <x:c r="A9" s="21" t="n">
        <x:f>ROW()-5+0*('01_Inputs'!$C$5)</x:f>
        <x:v>4</x:v>
      </x:c>
      <x:c r="B9" s="21" t="str">
        <x:v>prefill</x:v>
      </x:c>
      <x:c r="C9" s="21" t="str">
        <x:v>attention</x:v>
      </x:c>
      <x:c r="D9" s="21" t="str">
        <x:v>flash_attention</x:v>
      </x:c>
      <x:c r="E9" s="24" t="str">
        <x:v>4Πdh + csoftmaxΠ</x:v>
      </x:c>
      <x:c r="F9" s="66" t="n">
        <x:f>(1+0*'01_Inputs'!$C$5)</x:f>
        <x:v>1</x:v>
      </x:c>
      <x:c r="G9" s="69" t="n">
        <x:f>(4*((('01_Inputs'!$C$5)*('01_Inputs'!$C$12)*('01_Inputs'!$C$6)*(('01_Inputs'!$C$6)+1)/2))*('01_Inputs'!$C$11)+('01_Inputs'!$C$22)*((('01_Inputs'!$C$5)*('01_Inputs'!$C$12)*('01_Inputs'!$C$6)*(('01_Inputs'!$C$6)+1)/2)))</x:f>
        <x:v>2221582319616</x:v>
      </x:c>
      <x:c r="H9" s="69" t="n">
        <x:f>(2*('01_Inputs'!$C$5)*('01_Inputs'!$C$7)*((('01_Inputs'!$C$13)*('01_Inputs'!$C$11)))*('01_Inputs'!$C$16)*('01_Inputs'!$C$21))</x:f>
        <x:v>1073741824</x:v>
      </x:c>
      <x:c r="I9" s="69" t="n">
        <x:f>(((('01_Inputs'!$C$5)*('01_Inputs'!$C$6)))*((('01_Inputs'!$C$12)*('01_Inputs'!$C$11)))*('01_Inputs'!$C$14))</x:f>
        <x:v>536870912</x:v>
      </x:c>
      <x:c r="J9" s="69" t="n">
        <x:f>(0*'01_Inputs'!$C$5)</x:f>
        <x:v>0</x:v>
      </x:c>
      <x:c r="K9" s="69" t="n">
        <x:f>((1+0*'01_Inputs'!$C$5))*((2*('01_Inputs'!$C$5)*('01_Inputs'!$C$7)*((('01_Inputs'!$C$13)*('01_Inputs'!$C$11)))*('01_Inputs'!$C$16)*('01_Inputs'!$C$21)))+0*('01_Inputs'!$C$5)</x:f>
        <x:v>1073741824</x:v>
      </x:c>
      <x:c r="L9" s="69" t="n">
        <x:f>((1+0*'01_Inputs'!$C$5))*(((((('01_Inputs'!$C$5)*('01_Inputs'!$C$6)))*((('01_Inputs'!$C$12)*('01_Inputs'!$C$11)))*('01_Inputs'!$C$14)))+((0*'01_Inputs'!$C$5)))+0*('01_Inputs'!$C$5)</x:f>
        <x:v>536870912</x:v>
      </x:c>
      <x:c r="M9" s="69" t="n">
        <x:f>(0*'01_Inputs'!$C$5)</x:f>
        <x:v>0</x:v>
      </x:c>
      <x:c r="N9" s="66" t="n">
        <x:f>IF((((1+0*'01_Inputs'!$C$5))*(((2*('01_Inputs'!$C$5)*('01_Inputs'!$C$7)*((('01_Inputs'!$C$13)*('01_Inputs'!$C$11)))*('01_Inputs'!$C$16)*('01_Inputs'!$C$21)))+((((('01_Inputs'!$C$5)*('01_Inputs'!$C$6)))*((('01_Inputs'!$C$12)*('01_Inputs'!$C$11)))*('01_Inputs'!$C$14)))+((0*'01_Inputs'!$C$5))))=0,"",(((1+0*'01_Inputs'!$C$5))*((4*((('01_Inputs'!$C$5)*('01_Inputs'!$C$12)*('01_Inputs'!$C$6)*(('01_Inputs'!$C$6)+1)/2))*('01_Inputs'!$C$11)+('01_Inputs'!$C$22)*((('01_Inputs'!$C$5)*('01_Inputs'!$C$12)*('01_Inputs'!$C$6)*(('01_Inputs'!$C$6)+1)/2)))))/((((1+0*'01_Inputs'!$C$5))*(((2*('01_Inputs'!$C$5)*('01_Inputs'!$C$7)*((('01_Inputs'!$C$13)*('01_Inputs'!$C$11)))*('01_Inputs'!$C$16)*('01_Inputs'!$C$21)))+((((('01_Inputs'!$C$5)*('01_Inputs'!$C$6)))*((('01_Inputs'!$C$12)*('01_Inputs'!$C$11)))*('01_Inputs'!$C$14)))+((0*'01_Inputs'!$C$5)))))+0*('01_Inputs'!$C$5))</x:f>
        <x:v>1379.33984375</x:v>
      </x:c>
      <x:c r="O9" s="66" t="n">
        <x:f>(((1+0*'01_Inputs'!$C$5))*((4*((('01_Inputs'!$C$5)*('01_Inputs'!$C$12)*('01_Inputs'!$C$6)*(('01_Inputs'!$C$6)+1)/2))*('01_Inputs'!$C$11)+('01_Inputs'!$C$22)*((('01_Inputs'!$C$5)*('01_Inputs'!$C$12)*('01_Inputs'!$C$6)*(('01_Inputs'!$C$6)+1)/2))))/(('01_Inputs'!$C$31)*('02_HW'!$C$6))*('02_HW'!$C$10))</x:f>
        <x:v>2.245219995731057</x:v>
      </x:c>
      <x:c r="P9" s="66" t="n">
        <x:f>(((1+0*'01_Inputs'!$C$5))*(((2*('01_Inputs'!$C$5)*('01_Inputs'!$C$7)*((('01_Inputs'!$C$13)*('01_Inputs'!$C$11)))*('01_Inputs'!$C$16)*('01_Inputs'!$C$21)))+((((('01_Inputs'!$C$5)*('01_Inputs'!$C$6)))*((('01_Inputs'!$C$12)*('01_Inputs'!$C$11)))*('01_Inputs'!$C$14)))+((0*'01_Inputs'!$C$5)))/(('01_Inputs'!$C$32)*('02_HW'!$C$7))*('02_HW'!$C$10))</x:f>
        <x:v>0.48077992119402985</x:v>
      </x:c>
      <x:c r="Q9" s="66" t="n">
        <x:f>(MAX((((1+0*'01_Inputs'!$C$5))*((4*((('01_Inputs'!$C$5)*('01_Inputs'!$C$12)*('01_Inputs'!$C$6)*(('01_Inputs'!$C$6)+1)/2))*('01_Inputs'!$C$11)+('01_Inputs'!$C$22)*((('01_Inputs'!$C$5)*('01_Inputs'!$C$12)*('01_Inputs'!$C$6)*(('01_Inputs'!$C$6)+1)/2))))/(('01_Inputs'!$C$31)*('02_HW'!$C$6))*('02_HW'!$C$10)),(((1+0*'01_Inputs'!$C$5))*(((2*('01_Inputs'!$C$5)*('01_Inputs'!$C$7)*((('01_Inputs'!$C$13)*('01_Inputs'!$C$11)))*('01_Inputs'!$C$16)*('01_Inputs'!$C$21)))+((((('01_Inputs'!$C$5)*('01_Inputs'!$C$6)))*((('01_Inputs'!$C$12)*('01_Inputs'!$C$11)))*('01_Inputs'!$C$14)))+((0*'01_Inputs'!$C$5)))/(('01_Inputs'!$C$32)*('02_HW'!$C$7))*('02_HW'!$C$10)))+((1+0*'01_Inputs'!$C$5))*('02_HW'!$C$9)*('02_HW'!$C$10))</x:f>
        <x:v>2.245219995731057</x:v>
      </x:c>
      <x:c r="R9" s="21" t="str">
        <x:f>IF(O9&gt;P9,"compute",IF(P9&gt;O9,"memory","balanced"))&amp;IF('01_Inputs'!$C$5&gt;0,"","")</x:f>
        <x:v>compute</x:v>
      </x:c>
      <x:c r="S9" s="24" t="str">
        <x:v>Causal pairs; no quadratic score/probability HBM write.</x:v>
      </x:c>
    </x:row>
    <x:row r="10">
      <x:c r="A10" s="21" t="n">
        <x:f>ROW()-5+0*('01_Inputs'!$C$5)</x:f>
        <x:v>5</x:v>
      </x:c>
      <x:c r="B10" s="21" t="str">
        <x:v>prefill</x:v>
      </x:c>
      <x:c r="C10" s="21" t="str">
        <x:v>attention</x:v>
      </x:c>
      <x:c r="D10" s="21" t="str">
        <x:v>output_projection</x:v>
      </x:c>
      <x:c r="E10" s="24" t="str">
        <x:v>2NDqD</x:v>
      </x:c>
      <x:c r="F10" s="66" t="n">
        <x:f>(1+0*'01_Inputs'!$C$5)</x:f>
        <x:v>1</x:v>
      </x:c>
      <x:c r="G10" s="69" t="n">
        <x:f>(2*((('01_Inputs'!$C$5)*('01_Inputs'!$C$6)))*((('01_Inputs'!$C$12)*('01_Inputs'!$C$11)))*('01_Inputs'!$C$10))</x:f>
        <x:v>8796093022208</x:v>
      </x:c>
      <x:c r="H10" s="69" t="n">
        <x:f>(((('01_Inputs'!$C$5)*('01_Inputs'!$C$6)))*((('01_Inputs'!$C$12)*('01_Inputs'!$C$11)))*('01_Inputs'!$C$14)+((('01_Inputs'!$C$12)*('01_Inputs'!$C$11)))*('01_Inputs'!$C$10)*('01_Inputs'!$C$15))</x:f>
        <x:v>603979776</x:v>
      </x:c>
      <x:c r="I10" s="69" t="n">
        <x:f>(0*'01_Inputs'!$C$5)</x:f>
        <x:v>0</x:v>
      </x:c>
      <x:c r="J10" s="69" t="n">
        <x:f>(((('01_Inputs'!$C$5)*('01_Inputs'!$C$6)))*('01_Inputs'!$C$10)*('01_Inputs'!$C$14))</x:f>
        <x:v>536870912</x:v>
      </x:c>
      <x:c r="K10" s="69" t="n">
        <x:f>((1+0*'01_Inputs'!$C$5))*((((('01_Inputs'!$C$5)*('01_Inputs'!$C$6)))*((('01_Inputs'!$C$12)*('01_Inputs'!$C$11)))*('01_Inputs'!$C$14)+((('01_Inputs'!$C$12)*('01_Inputs'!$C$11)))*('01_Inputs'!$C$10)*('01_Inputs'!$C$15)))+0*('01_Inputs'!$C$5)</x:f>
        <x:v>603979776</x:v>
      </x:c>
      <x:c r="L10" s="69" t="n">
        <x:f>((1+0*'01_Inputs'!$C$5))*(((0*'01_Inputs'!$C$5))+((((('01_Inputs'!$C$5)*('01_Inputs'!$C$6)))*('01_Inputs'!$C$10)*('01_Inputs'!$C$14))))+0*('01_Inputs'!$C$5)</x:f>
        <x:v>536870912</x:v>
      </x:c>
      <x:c r="M10" s="69" t="n">
        <x:f>(0*'01_Inputs'!$C$5)</x:f>
        <x:v>0</x:v>
      </x:c>
      <x:c r="N10" s="66" t="n">
        <x:f>IF((((1+0*'01_Inputs'!$C$5))*(((((('01_Inputs'!$C$5)*('01_Inputs'!$C$6)))*((('01_Inputs'!$C$12)*('01_Inputs'!$C$11)))*('01_Inputs'!$C$14)+((('01_Inputs'!$C$12)*('01_Inputs'!$C$11)))*('01_Inputs'!$C$10)*('01_Inputs'!$C$15)))+((0*'01_Inputs'!$C$5))+((((('01_Inputs'!$C$5)*('01_Inputs'!$C$6)))*('01_Inputs'!$C$10)*('01_Inputs'!$C$14)))))=0,"",(((1+0*'01_Inputs'!$C$5))*((2*((('01_Inputs'!$C$5)*('01_Inputs'!$C$6)))*((('01_Inputs'!$C$12)*('01_Inputs'!$C$11)))*('01_Inputs'!$C$10))))/((((1+0*'01_Inputs'!$C$5))*(((((('01_Inputs'!$C$5)*('01_Inputs'!$C$6)))*((('01_Inputs'!$C$12)*('01_Inputs'!$C$11)))*('01_Inputs'!$C$14)+((('01_Inputs'!$C$12)*('01_Inputs'!$C$11)))*('01_Inputs'!$C$10)*('01_Inputs'!$C$15)))+((0*'01_Inputs'!$C$5))+((((('01_Inputs'!$C$5)*('01_Inputs'!$C$6)))*('01_Inputs'!$C$10)*('01_Inputs'!$C$14))))))+0*('01_Inputs'!$C$5))</x:f>
        <x:v>7710.117647058823</x:v>
      </x:c>
      <x:c r="O10" s="66" t="n">
        <x:f>(((1+0*'01_Inputs'!$C$5))*((2*((('01_Inputs'!$C$5)*('01_Inputs'!$C$6)))*((('01_Inputs'!$C$12)*('01_Inputs'!$C$11)))*('01_Inputs'!$C$10)))/(('01_Inputs'!$C$31)*('02_HW'!$C$6))*('02_HW'!$C$10))</x:f>
        <x:v>8.889683611267422</x:v>
      </x:c>
      <x:c r="P10" s="66" t="n">
        <x:f>(((1+0*'01_Inputs'!$C$5))*(((((('01_Inputs'!$C$5)*('01_Inputs'!$C$6)))*((('01_Inputs'!$C$12)*('01_Inputs'!$C$11)))*('01_Inputs'!$C$14)+((('01_Inputs'!$C$12)*('01_Inputs'!$C$11)))*('01_Inputs'!$C$10)*('01_Inputs'!$C$15)))+((0*'01_Inputs'!$C$5))+((((('01_Inputs'!$C$5)*('01_Inputs'!$C$6)))*('01_Inputs'!$C$10)*('01_Inputs'!$C$14))))/(('01_Inputs'!$C$32)*('02_HW'!$C$7))*('02_HW'!$C$10))</x:f>
        <x:v>0.34055244417910446</x:v>
      </x:c>
      <x:c r="Q10" s="66" t="n">
        <x:f>(MAX((((1+0*'01_Inputs'!$C$5))*((2*((('01_Inputs'!$C$5)*('01_Inputs'!$C$6)))*((('01_Inputs'!$C$12)*('01_Inputs'!$C$11)))*('01_Inputs'!$C$10)))/(('01_Inputs'!$C$31)*('02_HW'!$C$6))*('02_HW'!$C$10)),(((1+0*'01_Inputs'!$C$5))*(((((('01_Inputs'!$C$5)*('01_Inputs'!$C$6)))*((('01_Inputs'!$C$12)*('01_Inputs'!$C$11)))*('01_Inputs'!$C$14)+((('01_Inputs'!$C$12)*('01_Inputs'!$C$11)))*('01_Inputs'!$C$10)*('01_Inputs'!$C$15)))+((0*'01_Inputs'!$C$5))+((((('01_Inputs'!$C$5)*('01_Inputs'!$C$6)))*('01_Inputs'!$C$10)*('01_Inputs'!$C$14))))/(('01_Inputs'!$C$32)*('02_HW'!$C$7))*('02_HW'!$C$10)))+((1+0*'01_Inputs'!$C$5))*('02_HW'!$C$9)*('02_HW'!$C$10))</x:f>
        <x:v>8.889683611267422</x:v>
      </x:c>
      <x:c r="R10" s="21" t="str">
        <x:f>IF(O10&gt;P10,"compute",IF(P10&gt;O10,"memory","balanced"))&amp;IF('01_Inputs'!$C$5&gt;0,"","")</x:f>
        <x:v>compute</x:v>
      </x:c>
      <x:c r="S10" s="24" t="str">
        <x:v>Projects attention output to model width.</x:v>
      </x:c>
    </x:row>
    <x:row r="11">
      <x:c r="A11" s="21" t="n">
        <x:f>ROW()-5+0*('01_Inputs'!$C$5)</x:f>
        <x:v>6</x:v>
      </x:c>
      <x:c r="B11" s="21" t="str">
        <x:v>prefill</x:v>
      </x:c>
      <x:c r="C11" s="21" t="str">
        <x:v>moe</x:v>
      </x:c>
      <x:c r="D11" s="21" t="str">
        <x:v>moe_router</x:v>
      </x:c>
      <x:c r="E11" s="24" t="str">
        <x:v>2NDE + crouterNE</x:v>
      </x:c>
      <x:c r="F11" s="66" t="n">
        <x:f>(1+0*'01_Inputs'!$C$5)</x:f>
        <x:v>1</x:v>
      </x:c>
      <x:c r="G11" s="69" t="n">
        <x:f>(2*((('01_Inputs'!$C$5)*('01_Inputs'!$C$6)))*('01_Inputs'!$C$10)*('01_Inputs'!$C$23)+('01_Inputs'!$C$27)*((('01_Inputs'!$C$5)*('01_Inputs'!$C$6)))*('01_Inputs'!$C$23))</x:f>
        <x:v>137447342080</x:v>
      </x:c>
      <x:c r="H11" s="69" t="n">
        <x:f>(((((('01_Inputs'!$C$5)*('01_Inputs'!$C$6)))*('01_Inputs'!$C$10)*('01_Inputs'!$C$14)))+('01_Inputs'!$C$10)*('01_Inputs'!$C$23)*('01_Inputs'!$C$15))</x:f>
        <x:v>537919488</x:v>
      </x:c>
      <x:c r="I11" s="69" t="n">
        <x:f>(0*'01_Inputs'!$C$5)</x:f>
        <x:v>0</x:v>
      </x:c>
      <x:c r="J11" s="69" t="n">
        <x:f>(((('01_Inputs'!$C$5)*('01_Inputs'!$C$6)))*('01_Inputs'!$C$24)*('01_Inputs'!$C$28))</x:f>
        <x:v>524288</x:v>
      </x:c>
      <x:c r="K11" s="69" t="n">
        <x:f>((1+0*'01_Inputs'!$C$5))*((((((('01_Inputs'!$C$5)*('01_Inputs'!$C$6)))*('01_Inputs'!$C$10)*('01_Inputs'!$C$14)))+('01_Inputs'!$C$10)*('01_Inputs'!$C$23)*('01_Inputs'!$C$15)))+0*('01_Inputs'!$C$5)</x:f>
        <x:v>537919488</x:v>
      </x:c>
      <x:c r="L11" s="69" t="n">
        <x:f>((1+0*'01_Inputs'!$C$5))*(((0*'01_Inputs'!$C$5))+((((('01_Inputs'!$C$5)*('01_Inputs'!$C$6)))*('01_Inputs'!$C$24)*('01_Inputs'!$C$28))))+0*('01_Inputs'!$C$5)</x:f>
        <x:v>524288</x:v>
      </x:c>
      <x:c r="M11" s="69" t="n">
        <x:f>(0*'01_Inputs'!$C$5)</x:f>
        <x:v>0</x:v>
      </x:c>
      <x:c r="N11" s="66" t="n">
        <x:f>IF((((1+0*'01_Inputs'!$C$5))*(((((((('01_Inputs'!$C$5)*('01_Inputs'!$C$6)))*('01_Inputs'!$C$10)*('01_Inputs'!$C$14)))+('01_Inputs'!$C$10)*('01_Inputs'!$C$23)*('01_Inputs'!$C$15)))+((0*'01_Inputs'!$C$5))+((((('01_Inputs'!$C$5)*('01_Inputs'!$C$6)))*('01_Inputs'!$C$24)*('01_Inputs'!$C$28)))))=0,"",(((1+0*'01_Inputs'!$C$5))*((2*((('01_Inputs'!$C$5)*('01_Inputs'!$C$6)))*('01_Inputs'!$C$10)*('01_Inputs'!$C$23)+('01_Inputs'!$C$27)*((('01_Inputs'!$C$5)*('01_Inputs'!$C$6)))*('01_Inputs'!$C$23))))/((((1+0*'01_Inputs'!$C$5))*(((((((('01_Inputs'!$C$5)*('01_Inputs'!$C$6)))*('01_Inputs'!$C$10)*('01_Inputs'!$C$14)))+('01_Inputs'!$C$10)*('01_Inputs'!$C$23)*('01_Inputs'!$C$15)))+((0*'01_Inputs'!$C$5))+((((('01_Inputs'!$C$5)*('01_Inputs'!$C$6)))*('01_Inputs'!$C$24)*('01_Inputs'!$C$28))))))+0*('01_Inputs'!$C$5))</x:f>
        <x:v>255.26777020447906</x:v>
      </x:c>
      <x:c r="O11" s="66" t="n">
        <x:f>(((1+0*'01_Inputs'!$C$5))*((2*((('01_Inputs'!$C$5)*('01_Inputs'!$C$6)))*('01_Inputs'!$C$10)*('01_Inputs'!$C$23)+('01_Inputs'!$C$27)*((('01_Inputs'!$C$5)*('01_Inputs'!$C$6)))*('01_Inputs'!$C$23)))/(('01_Inputs'!$C$31)*('02_HW'!$C$6))*('02_HW'!$C$10))</x:f>
        <x:v>0.13890978428899453</x:v>
      </x:c>
      <x:c r="P11" s="66" t="n">
        <x:f>(((1+0*'01_Inputs'!$C$5))*(((((((('01_Inputs'!$C$5)*('01_Inputs'!$C$6)))*('01_Inputs'!$C$10)*('01_Inputs'!$C$14)))+('01_Inputs'!$C$10)*('01_Inputs'!$C$23)*('01_Inputs'!$C$15)))+((0*'01_Inputs'!$C$5))+((((('01_Inputs'!$C$5)*('01_Inputs'!$C$6)))*('01_Inputs'!$C$24)*('01_Inputs'!$C$28))))/(('01_Inputs'!$C$32)*('02_HW'!$C$7))*('02_HW'!$C$10))</x:f>
        <x:v>0.1607294853731343</x:v>
      </x:c>
      <x:c r="Q11" s="66" t="n">
        <x:f>(MAX((((1+0*'01_Inputs'!$C$5))*((2*((('01_Inputs'!$C$5)*('01_Inputs'!$C$6)))*('01_Inputs'!$C$10)*('01_Inputs'!$C$23)+('01_Inputs'!$C$27)*((('01_Inputs'!$C$5)*('01_Inputs'!$C$6)))*('01_Inputs'!$C$23)))/(('01_Inputs'!$C$31)*('02_HW'!$C$6))*('02_HW'!$C$10)),(((1+0*'01_Inputs'!$C$5))*(((((((('01_Inputs'!$C$5)*('01_Inputs'!$C$6)))*('01_Inputs'!$C$10)*('01_Inputs'!$C$14)))+('01_Inputs'!$C$10)*('01_Inputs'!$C$23)*('01_Inputs'!$C$15)))+((0*'01_Inputs'!$C$5))+((((('01_Inputs'!$C$5)*('01_Inputs'!$C$6)))*('01_Inputs'!$C$24)*('01_Inputs'!$C$28))))/(('01_Inputs'!$C$32)*('02_HW'!$C$7))*('02_HW'!$C$10)))+((1+0*'01_Inputs'!$C$5))*('02_HW'!$C$9)*('02_HW'!$C$10))</x:f>
        <x:v>0.1607294853731343</x:v>
      </x:c>
      <x:c r="R11" s="21" t="str">
        <x:f>IF(O11&gt;P11,"compute",IF(P11&gt;O11,"memory","balanced"))&amp;IF('01_Inputs'!$C$5&gt;0,"","")</x:f>
        <x:v>memory</x:v>
      </x:c>
      <x:c r="S11" s="24" t="str">
        <x:v>Router GEMM plus selection cost.</x:v>
      </x:c>
    </x:row>
    <x:row r="12">
      <x:c r="A12" s="21" t="n">
        <x:f>ROW()-5+0*('01_Inputs'!$C$5)</x:f>
        <x:v>7</x:v>
      </x:c>
      <x:c r="B12" s="21" t="str">
        <x:v>prefill</x:v>
      </x:c>
      <x:c r="C12" s="21" t="str">
        <x:v>moe</x:v>
      </x:c>
      <x:c r="D12" s="21" t="str">
        <x:v>moe_dispatch</x:v>
      </x:c>
      <x:c r="E12" s="24" t="str">
        <x:v>materialize top-k routes</x:v>
      </x:c>
      <x:c r="F12" s="66" t="n">
        <x:f>(1+0*'01_Inputs'!$C$5)</x:f>
        <x:v>1</x:v>
      </x:c>
      <x:c r="G12" s="69" t="n">
        <x:f>(0*'01_Inputs'!$C$5)</x:f>
        <x:v>0</x:v>
      </x:c>
      <x:c r="H12" s="69" t="n">
        <x:f>(((((('01_Inputs'!$C$5)*('01_Inputs'!$C$6)))*('01_Inputs'!$C$10)*('01_Inputs'!$C$14)))+((((('01_Inputs'!$C$5)*('01_Inputs'!$C$6)))*('01_Inputs'!$C$24)*('01_Inputs'!$C$28))))</x:f>
        <x:v>537395200</x:v>
      </x:c>
      <x:c r="I12" s="69" t="n">
        <x:f>(0*'01_Inputs'!$C$5)</x:f>
        <x:v>0</x:v>
      </x:c>
      <x:c r="J12" s="69" t="n">
        <x:f>(((('01_Inputs'!$C$5)*('01_Inputs'!$C$6)))*('01_Inputs'!$C$24)*('01_Inputs'!$C$10)*('01_Inputs'!$C$14))</x:f>
        <x:v>536870912</x:v>
      </x:c>
      <x:c r="K12" s="69" t="n">
        <x:f>((1+0*'01_Inputs'!$C$5))*((((((('01_Inputs'!$C$5)*('01_Inputs'!$C$6)))*('01_Inputs'!$C$10)*('01_Inputs'!$C$14)))+((((('01_Inputs'!$C$5)*('01_Inputs'!$C$6)))*('01_Inputs'!$C$24)*('01_Inputs'!$C$28)))))+0*('01_Inputs'!$C$5)</x:f>
        <x:v>537395200</x:v>
      </x:c>
      <x:c r="L12" s="69" t="n">
        <x:f>((1+0*'01_Inputs'!$C$5))*(((0*'01_Inputs'!$C$5))+((((('01_Inputs'!$C$5)*('01_Inputs'!$C$6)))*('01_Inputs'!$C$24)*('01_Inputs'!$C$10)*('01_Inputs'!$C$14))))+0*('01_Inputs'!$C$5)</x:f>
        <x:v>536870912</x:v>
      </x:c>
      <x:c r="M12" s="69" t="n">
        <x:f>(0*'01_Inputs'!$C$5)</x:f>
        <x:v>0</x:v>
      </x:c>
      <x:c r="N12" s="66" t="n">
        <x:f>IF((((1+0*'01_Inputs'!$C$5))*(((((((('01_Inputs'!$C$5)*('01_Inputs'!$C$6)))*('01_Inputs'!$C$10)*('01_Inputs'!$C$14)))+((((('01_Inputs'!$C$5)*('01_Inputs'!$C$6)))*('01_Inputs'!$C$24)*('01_Inputs'!$C$28)))))+((0*'01_Inputs'!$C$5))+((((('01_Inputs'!$C$5)*('01_Inputs'!$C$6)))*('01_Inputs'!$C$24)*('01_Inputs'!$C$10)*('01_Inputs'!$C$14)))))=0,"",(((1+0*'01_Inputs'!$C$5))*((0*'01_Inputs'!$C$5)))/((((1+0*'01_Inputs'!$C$5))*(((((((('01_Inputs'!$C$5)*('01_Inputs'!$C$6)))*('01_Inputs'!$C$10)*('01_Inputs'!$C$14)))+((((('01_Inputs'!$C$5)*('01_Inputs'!$C$6)))*('01_Inputs'!$C$24)*('01_Inputs'!$C$28)))))+((0*'01_Inputs'!$C$5))+((((('01_Inputs'!$C$5)*('01_Inputs'!$C$6)))*('01_Inputs'!$C$24)*('01_Inputs'!$C$10)*('01_Inputs'!$C$14))))))+0*('01_Inputs'!$C$5))</x:f>
        <x:v>0</x:v>
      </x:c>
      <x:c r="O12" s="66" t="n">
        <x:f>(((1+0*'01_Inputs'!$C$5))*((0*'01_Inputs'!$C$5))/(('01_Inputs'!$C$31)*('02_HW'!$C$6))*('02_HW'!$C$10))</x:f>
        <x:v>0</x:v>
      </x:c>
      <x:c r="P12" s="66" t="n">
        <x:f>(((1+0*'01_Inputs'!$C$5))*(((((((('01_Inputs'!$C$5)*('01_Inputs'!$C$6)))*('01_Inputs'!$C$10)*('01_Inputs'!$C$14)))+((((('01_Inputs'!$C$5)*('01_Inputs'!$C$6)))*('01_Inputs'!$C$24)*('01_Inputs'!$C$28)))))+((0*'01_Inputs'!$C$5))+((((('01_Inputs'!$C$5)*('01_Inputs'!$C$6)))*('01_Inputs'!$C$24)*('01_Inputs'!$C$10)*('01_Inputs'!$C$14))))/(('01_Inputs'!$C$32)*('02_HW'!$C$7))*('02_HW'!$C$10))</x:f>
        <x:v>0.3206764513432836</x:v>
      </x:c>
      <x:c r="Q12" s="66" t="n">
        <x:f>(MAX((((1+0*'01_Inputs'!$C$5))*((0*'01_Inputs'!$C$5))/(('01_Inputs'!$C$31)*('02_HW'!$C$6))*('02_HW'!$C$10)),(((1+0*'01_Inputs'!$C$5))*(((((((('01_Inputs'!$C$5)*('01_Inputs'!$C$6)))*('01_Inputs'!$C$10)*('01_Inputs'!$C$14)))+((((('01_Inputs'!$C$5)*('01_Inputs'!$C$6)))*('01_Inputs'!$C$24)*('01_Inputs'!$C$28)))))+((0*'01_Inputs'!$C$5))+((((('01_Inputs'!$C$5)*('01_Inputs'!$C$6)))*('01_Inputs'!$C$24)*('01_Inputs'!$C$10)*('01_Inputs'!$C$14))))/(('01_Inputs'!$C$32)*('02_HW'!$C$7))*('02_HW'!$C$10)))+((1+0*'01_Inputs'!$C$5))*('02_HW'!$C$9)*('02_HW'!$C$10))</x:f>
        <x:v>0.3206764513432836</x:v>
      </x:c>
      <x:c r="R12" s="21" t="str">
        <x:f>IF(O12&gt;P12,"compute",IF(P12&gt;O12,"memory","balanced"))&amp;IF('01_Inputs'!$C$5&gt;0,"","")</x:f>
        <x:v>memory</x:v>
      </x:c>
      <x:c r="S12" s="24" t="str">
        <x:v>Dispatch traffic kept visible.</x:v>
      </x:c>
    </x:row>
    <x:row r="13">
      <x:c r="A13" s="21" t="n">
        <x:f>ROW()-5+0*('01_Inputs'!$C$5)</x:f>
        <x:v>8</x:v>
      </x:c>
      <x:c r="B13" s="21" t="str">
        <x:v>prefill</x:v>
      </x:c>
      <x:c r="C13" s="21" t="str">
        <x:v>moe</x:v>
      </x:c>
      <x:c r="D13" s="21" t="str">
        <x:v>expert_up_projection</x:v>
      </x:c>
      <x:c r="E13" s="24" t="str">
        <x:v>2NrDF</x:v>
      </x:c>
      <x:c r="F13" s="66" t="n">
        <x:f>(1+0*'01_Inputs'!$C$5)</x:f>
        <x:v>1</x:v>
      </x:c>
      <x:c r="G13" s="69" t="n">
        <x:f>(2*((('01_Inputs'!$C$5)*('01_Inputs'!$C$6)))*('01_Inputs'!$C$24)*('01_Inputs'!$C$10)*('01_Inputs'!$C$25))</x:f>
        <x:v>17592186044416</x:v>
      </x:c>
      <x:c r="H13" s="69" t="n">
        <x:f>(((((('01_Inputs'!$C$5)*('01_Inputs'!$C$6)))*('01_Inputs'!$C$24)*('01_Inputs'!$C$10)*('01_Inputs'!$C$14)))+((((IF(('01_Inputs'!$C$29)&gt;0,('01_Inputs'!$C$29),('01_Inputs'!$C$23)*(1-POWER(1-1/('01_Inputs'!$C$23),((('01_Inputs'!$C$5)*('01_Inputs'!$C$6)))*('01_Inputs'!$C$24))))))*('01_Inputs'!$C$10)*('01_Inputs'!$C$25)*('01_Inputs'!$C$15)*('01_Inputs'!$C$30))))</x:f>
        <x:v>17716740096</x:v>
      </x:c>
      <x:c r="I13" s="69" t="n">
        <x:f>(0*'01_Inputs'!$C$5)</x:f>
        <x:v>0</x:v>
      </x:c>
      <x:c r="J13" s="69" t="n">
        <x:f>(IF(('01_Inputs'!$C$34)=1,0,((((('01_Inputs'!$C$5)*('01_Inputs'!$C$6)))*('01_Inputs'!$C$24)*('01_Inputs'!$C$25)*('01_Inputs'!$C$14)))))</x:f>
        <x:v>1073741824</x:v>
      </x:c>
      <x:c r="K13" s="69" t="n">
        <x:f>((1+0*'01_Inputs'!$C$5))*((((((('01_Inputs'!$C$5)*('01_Inputs'!$C$6)))*('01_Inputs'!$C$24)*('01_Inputs'!$C$10)*('01_Inputs'!$C$14)))+((((IF(('01_Inputs'!$C$29)&gt;0,('01_Inputs'!$C$29),('01_Inputs'!$C$23)*(1-POWER(1-1/('01_Inputs'!$C$23),((('01_Inputs'!$C$5)*('01_Inputs'!$C$6)))*('01_Inputs'!$C$24))))))*('01_Inputs'!$C$10)*('01_Inputs'!$C$25)*('01_Inputs'!$C$15)*('01_Inputs'!$C$30)))))+0*('01_Inputs'!$C$5)</x:f>
        <x:v>17716740096</x:v>
      </x:c>
      <x:c r="L13" s="69" t="n">
        <x:f>((1+0*'01_Inputs'!$C$5))*(((0*'01_Inputs'!$C$5))+((IF(('01_Inputs'!$C$34)=1,0,((((('01_Inputs'!$C$5)*('01_Inputs'!$C$6)))*('01_Inputs'!$C$24)*('01_Inputs'!$C$25)*('01_Inputs'!$C$14)))))))+0*('01_Inputs'!$C$5)</x:f>
        <x:v>1073741824</x:v>
      </x:c>
      <x:c r="M13" s="69" t="n">
        <x:f>(0*'01_Inputs'!$C$5)</x:f>
        <x:v>0</x:v>
      </x:c>
      <x:c r="N13" s="66" t="n">
        <x:f>IF((((1+0*'01_Inputs'!$C$5))*(((((((('01_Inputs'!$C$5)*('01_Inputs'!$C$6)))*('01_Inputs'!$C$24)*('01_Inputs'!$C$10)*('01_Inputs'!$C$14)))+((((IF(('01_Inputs'!$C$29)&gt;0,('01_Inputs'!$C$29),('01_Inputs'!$C$23)*(1-POWER(1-1/('01_Inputs'!$C$23),((('01_Inputs'!$C$5)*('01_Inputs'!$C$6)))*('01_Inputs'!$C$24))))))*('01_Inputs'!$C$10)*('01_Inputs'!$C$25)*('01_Inputs'!$C$15)*('01_Inputs'!$C$30)))))+((0*'01_Inputs'!$C$5))+((IF(('01_Inputs'!$C$34)=1,0,((((('01_Inputs'!$C$5)*('01_Inputs'!$C$6)))*('01_Inputs'!$C$24)*('01_Inputs'!$C$25)*('01_Inputs'!$C$14))))))))=0,"",(((1+0*'01_Inputs'!$C$5))*((2*((('01_Inputs'!$C$5)*('01_Inputs'!$C$6)))*('01_Inputs'!$C$24)*('01_Inputs'!$C$10)*('01_Inputs'!$C$25))))/((((1+0*'01_Inputs'!$C$5))*(((((((('01_Inputs'!$C$5)*('01_Inputs'!$C$6)))*('01_Inputs'!$C$24)*('01_Inputs'!$C$10)*('01_Inputs'!$C$14)))+((((IF(('01_Inputs'!$C$29)&gt;0,('01_Inputs'!$C$29),('01_Inputs'!$C$23)*(1-POWER(1-1/('01_Inputs'!$C$23),((('01_Inputs'!$C$5)*('01_Inputs'!$C$6)))*('01_Inputs'!$C$24))))))*('01_Inputs'!$C$10)*('01_Inputs'!$C$25)*('01_Inputs'!$C$15)*('01_Inputs'!$C$30)))))+((0*'01_Inputs'!$C$5))+((IF(('01_Inputs'!$C$34)=1,0,((((('01_Inputs'!$C$5)*('01_Inputs'!$C$6)))*('01_Inputs'!$C$24)*('01_Inputs'!$C$25)*('01_Inputs'!$C$14)))))))))+0*('01_Inputs'!$C$5))</x:f>
        <x:v>936.2285714285714</x:v>
      </x:c>
      <x:c r="O13" s="66" t="n">
        <x:f>(((1+0*'01_Inputs'!$C$5))*((2*((('01_Inputs'!$C$5)*('01_Inputs'!$C$6)))*('01_Inputs'!$C$24)*('01_Inputs'!$C$10)*('01_Inputs'!$C$25)))/(('01_Inputs'!$C$31)*('02_HW'!$C$6))*('02_HW'!$C$10))</x:f>
        <x:v>17.779367222534844</x:v>
      </x:c>
      <x:c r="P13" s="66" t="n">
        <x:f>(((1+0*'01_Inputs'!$C$5))*(((((((('01_Inputs'!$C$5)*('01_Inputs'!$C$6)))*('01_Inputs'!$C$24)*('01_Inputs'!$C$10)*('01_Inputs'!$C$14)))+((((IF(('01_Inputs'!$C$29)&gt;0,('01_Inputs'!$C$29),('01_Inputs'!$C$23)*(1-POWER(1-1/('01_Inputs'!$C$23),((('01_Inputs'!$C$5)*('01_Inputs'!$C$6)))*('01_Inputs'!$C$24))))))*('01_Inputs'!$C$10)*('01_Inputs'!$C$25)*('01_Inputs'!$C$15)*('01_Inputs'!$C$30)))))+((0*'01_Inputs'!$C$5))+((IF(('01_Inputs'!$C$34)=1,0,((((('01_Inputs'!$C$5)*('01_Inputs'!$C$6)))*('01_Inputs'!$C$24)*('01_Inputs'!$C$25)*('01_Inputs'!$C$14)))))))/(('01_Inputs'!$C$32)*('02_HW'!$C$7))*('02_HW'!$C$10))</x:f>
        <x:v>5.609099080597015</x:v>
      </x:c>
      <x:c r="Q13" s="66" t="n">
        <x:f>(MAX((((1+0*'01_Inputs'!$C$5))*((2*((('01_Inputs'!$C$5)*('01_Inputs'!$C$6)))*('01_Inputs'!$C$24)*('01_Inputs'!$C$10)*('01_Inputs'!$C$25)))/(('01_Inputs'!$C$31)*('02_HW'!$C$6))*('02_HW'!$C$10)),(((1+0*'01_Inputs'!$C$5))*(((((((('01_Inputs'!$C$5)*('01_Inputs'!$C$6)))*('01_Inputs'!$C$24)*('01_Inputs'!$C$10)*('01_Inputs'!$C$14)))+((((IF(('01_Inputs'!$C$29)&gt;0,('01_Inputs'!$C$29),('01_Inputs'!$C$23)*(1-POWER(1-1/('01_Inputs'!$C$23),((('01_Inputs'!$C$5)*('01_Inputs'!$C$6)))*('01_Inputs'!$C$24))))))*('01_Inputs'!$C$10)*('01_Inputs'!$C$25)*('01_Inputs'!$C$15)*('01_Inputs'!$C$30)))))+((0*'01_Inputs'!$C$5))+((IF(('01_Inputs'!$C$34)=1,0,((((('01_Inputs'!$C$5)*('01_Inputs'!$C$6)))*('01_Inputs'!$C$24)*('01_Inputs'!$C$25)*('01_Inputs'!$C$14)))))))/(('01_Inputs'!$C$32)*('02_HW'!$C$7))*('02_HW'!$C$10)))+((1+0*'01_Inputs'!$C$5))*('02_HW'!$C$9)*('02_HW'!$C$10))</x:f>
        <x:v>17.779367222534844</x:v>
      </x:c>
      <x:c r="R13" s="21" t="str">
        <x:f>IF(O13&gt;P13,"compute",IF(P13&gt;O13,"memory","balanced"))&amp;IF('01_Inputs'!$C$5&gt;0,"","")</x:f>
        <x:v>compute</x:v>
      </x:c>
      <x:c r="S13" s="24" t="str">
        <x:v>Expected active-expert weight read.</x:v>
      </x:c>
    </x:row>
    <x:row r="14">
      <x:c r="A14" s="21" t="n">
        <x:f>ROW()-5+0*('01_Inputs'!$C$5)</x:f>
        <x:v>9</x:v>
      </x:c>
      <x:c r="B14" s="21" t="str">
        <x:v>prefill</x:v>
      </x:c>
      <x:c r="C14" s="21" t="str">
        <x:v>moe</x:v>
      </x:c>
      <x:c r="D14" s="21" t="str">
        <x:v>expert_gate_projection</x:v>
      </x:c>
      <x:c r="E14" s="24" t="str">
        <x:v>2NrDF</x:v>
      </x:c>
      <x:c r="F14" s="66" t="n">
        <x:f>(1+0*'01_Inputs'!$C$5)</x:f>
        <x:v>1</x:v>
      </x:c>
      <x:c r="G14" s="69" t="n">
        <x:f>(2*((('01_Inputs'!$C$5)*('01_Inputs'!$C$6)))*('01_Inputs'!$C$24)*('01_Inputs'!$C$10)*('01_Inputs'!$C$25))</x:f>
        <x:v>17592186044416</x:v>
      </x:c>
      <x:c r="H14" s="69" t="n">
        <x:f>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$10)*('01_Inputs'!$C$14))))))</x:f>
        <x:v>17716740096</x:v>
      </x:c>
      <x:c r="I14" s="69" t="n">
        <x:f>(0*'01_Inputs'!$C$5)</x:f>
        <x:v>0</x:v>
      </x:c>
      <x:c r="J14" s="69" t="n">
        <x:f>(IF(('01_Inputs'!$C$34)=1,0,((((('01_Inputs'!$C$5)*('01_Inputs'!$C$6)))*('01_Inputs'!$C$24)*('01_Inputs'!$C$25)*('01_Inputs'!$C$14)))))</x:f>
        <x:v>1073741824</x:v>
      </x:c>
      <x:c r="K14" s="69" t="n">
        <x:f>((1+0*'01_Inputs'!$C$5))*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$10)*('01_Inputs'!$C$14)))))))+0*('01_Inputs'!$C$5)</x:f>
        <x:v>17716740096</x:v>
      </x:c>
      <x:c r="L14" s="69" t="n">
        <x:f>((1+0*'01_Inputs'!$C$5))*(((0*'01_Inputs'!$C$5))+((IF(('01_Inputs'!$C$34)=1,0,((((('01_Inputs'!$C$5)*('01_Inputs'!$C$6)))*('01_Inputs'!$C$24)*('01_Inputs'!$C$25)*('01_Inputs'!$C$14)))))))+0*('01_Inputs'!$C$5)</x:f>
        <x:v>1073741824</x:v>
      </x:c>
      <x:c r="M14" s="69" t="n">
        <x:f>(0*'01_Inputs'!$C$5)</x:f>
        <x:v>0</x:v>
      </x:c>
      <x:c r="N14" s="66" t="n">
        <x:f>IF(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$10)*('01_Inputs'!$C$14)))))))+((0*'01_Inputs'!$C$5))+((IF(('01_Inputs'!$C$34)=1,0,((((('01_Inputs'!$C$5)*('01_Inputs'!$C$6)))*('01_Inputs'!$C$24)*('01_Inputs'!$C$25)*('01_Inputs'!$C$14))))))))=0,"",(((1+0*'01_Inputs'!$C$5))*((2*((('01_Inputs'!$C$5)*('01_Inputs'!$C$6)))*('01_Inputs'!$C$24)*('01_Inputs'!$C$10)*('01_Inputs'!$C$25))))/(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$10)*('01_Inputs'!$C$14)))))))+((0*'01_Inputs'!$C$5))+((IF(('01_Inputs'!$C$34)=1,0,((((('01_Inputs'!$C$5)*('01_Inputs'!$C$6)))*('01_Inputs'!$C$24)*('01_Inputs'!$C$25)*('01_Inputs'!$C$14)))))))))+0*('01_Inputs'!$C$5))</x:f>
        <x:v>936.2285714285714</x:v>
      </x:c>
      <x:c r="O14" s="66" t="n">
        <x:f>(((1+0*'01_Inputs'!$C$5))*((2*((('01_Inputs'!$C$5)*('01_Inputs'!$C$6)))*('01_Inputs'!$C$24)*('01_Inputs'!$C$10)*('01_Inputs'!$C$25)))/(('01_Inputs'!$C$31)*('02_HW'!$C$6))*('02_HW'!$C$10))</x:f>
        <x:v>17.779367222534844</x:v>
      </x:c>
      <x:c r="P14" s="66" t="n">
        <x:f>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$10)*('01_Inputs'!$C$14)))))))+((0*'01_Inputs'!$C$5))+((IF(('01_Inputs'!$C$34)=1,0,((((('01_Inputs'!$C$5)*('01_Inputs'!$C$6)))*('01_Inputs'!$C$24)*('01_Inputs'!$C$25)*('01_Inputs'!$C$14)))))))/(('01_Inputs'!$C$32)*('02_HW'!$C$7))*('02_HW'!$C$10))</x:f>
        <x:v>5.609099080597015</x:v>
      </x:c>
      <x:c r="Q14" s="66" t="n">
        <x:f>(MAX((((1+0*'01_Inputs'!$C$5))*((2*((('01_Inputs'!$C$5)*('01_Inputs'!$C$6)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$10)*('01_Inputs'!$C$14)))))))+((0*'01_Inputs'!$C$5))+((IF(('01_Inputs'!$C$34)=1,0,((((('01_Inputs'!$C$5)*('01_Inputs'!$C$6)))*('01_Inputs'!$C$24)*('01_Inputs'!$C$25)*('01_Inputs'!$C$14)))))))/(('01_Inputs'!$C$32)*('02_HW'!$C$7))*('02_HW'!$C$10)))+((1+0*'01_Inputs'!$C$5))*('02_HW'!$C$9)*('02_HW'!$C$10))</x:f>
        <x:v>17.779367222534844</x:v>
      </x:c>
      <x:c r="R14" s="21" t="str">
        <x:f>IF(O14&gt;P14,"compute",IF(P14&gt;O14,"memory","balanced"))&amp;IF('01_Inputs'!$C$5&gt;0,"","")</x:f>
        <x:v>compute</x:v>
      </x:c>
      <x:c r="S14" s="24" t="str">
        <x:v>SwiGLU gate matrix.</x:v>
      </x:c>
    </x:row>
    <x:row r="15">
      <x:c r="A15" s="21" t="n">
        <x:f>ROW()-5+0*('01_Inputs'!$C$5)</x:f>
        <x:v>10</x:v>
      </x:c>
      <x:c r="B15" s="21" t="str">
        <x:v>prefill</x:v>
      </x:c>
      <x:c r="C15" s="21" t="str">
        <x:v>moe</x:v>
      </x:c>
      <x:c r="D15" s="21" t="str">
        <x:v>expert_swiglu_activation</x:v>
      </x:c>
      <x:c r="E15" s="24" t="str">
        <x:v>NrF cactivation</x:v>
      </x:c>
      <x:c r="F15" s="66" t="n">
        <x:f>(1+0*'01_Inputs'!$C$5)</x:f>
        <x:v>1</x:v>
      </x:c>
      <x:c r="G15" s="69" t="n">
        <x:f>(((('01_Inputs'!$C$5)*('01_Inputs'!$C$6)))*('01_Inputs'!$C$24)*('01_Inputs'!$C$25)*('01_Inputs'!$C$33))</x:f>
        <x:v>4294967296</x:v>
      </x:c>
      <x:c r="H15" s="69" t="n">
        <x:f>(IF(('01_Inputs'!$C$34)=1,0,(2*((((('01_Inputs'!$C$5)*('01_Inputs'!$C$6)))*('01_Inputs'!$C$24)*('01_Inputs'!$C$25)*('01_Inputs'!$C$14))))))</x:f>
        <x:v>2147483648</x:v>
      </x:c>
      <x:c r="I15" s="69" t="n">
        <x:f>(0*'01_Inputs'!$C$5)</x:f>
        <x:v>0</x:v>
      </x:c>
      <x:c r="J15" s="69" t="n">
        <x:f>(IF(('01_Inputs'!$C$34)=1,0,((((('01_Inputs'!$C$5)*('01_Inputs'!$C$6)))*('01_Inputs'!$C$24)*('01_Inputs'!$C$25)*('01_Inputs'!$C$14)))))</x:f>
        <x:v>1073741824</x:v>
      </x:c>
      <x:c r="K15" s="69" t="n">
        <x:f>((1+0*'01_Inputs'!$C$5))*((IF(('01_Inputs'!$C$34)=1,0,(2*((((('01_Inputs'!$C$5)*('01_Inputs'!$C$6)))*('01_Inputs'!$C$24)*('01_Inputs'!$C$25)*('01_Inputs'!$C$14)))))))+0*('01_Inputs'!$C$5)</x:f>
        <x:v>2147483648</x:v>
      </x:c>
      <x:c r="L15" s="69" t="n">
        <x:f>((1+0*'01_Inputs'!$C$5))*(((0*'01_Inputs'!$C$5))+((IF(('01_Inputs'!$C$34)=1,0,((((('01_Inputs'!$C$5)*('01_Inputs'!$C$6)))*('01_Inputs'!$C$24)*('01_Inputs'!$C$25)*('01_Inputs'!$C$14)))))))+0*('01_Inputs'!$C$5)</x:f>
        <x:v>1073741824</x:v>
      </x:c>
      <x:c r="M15" s="69" t="n">
        <x:f>(0*'01_Inputs'!$C$5)</x:f>
        <x:v>0</x:v>
      </x:c>
      <x:c r="N15" s="66" t="n">
        <x:f>IF((((1+0*'01_Inputs'!$C$5))*(((IF(('01_Inputs'!$C$34)=1,0,(2*((((('01_Inputs'!$C$5)*('01_Inputs'!$C$6)))*('01_Inputs'!$C$24)*('01_Inputs'!$C$25)*('01_Inputs'!$C$14)))))))+((0*'01_Inputs'!$C$5))+((IF(('01_Inputs'!$C$34)=1,0,((((('01_Inputs'!$C$5)*('01_Inputs'!$C$6)))*('01_Inputs'!$C$24)*('01_Inputs'!$C$25)*('01_Inputs'!$C$14))))))))=0,"",(((1+0*'01_Inputs'!$C$5))*((((('01_Inputs'!$C$5)*('01_Inputs'!$C$6)))*('01_Inputs'!$C$24)*('01_Inputs'!$C$25)*('01_Inputs'!$C$33))))/((((1+0*'01_Inputs'!$C$5))*(((IF(('01_Inputs'!$C$34)=1,0,(2*((((('01_Inputs'!$C$5)*('01_Inputs'!$C$6)))*('01_Inputs'!$C$24)*('01_Inputs'!$C$25)*('01_Inputs'!$C$14)))))))+((0*'01_Inputs'!$C$5))+((IF(('01_Inputs'!$C$34)=1,0,((((('01_Inputs'!$C$5)*('01_Inputs'!$C$6)))*('01_Inputs'!$C$24)*('01_Inputs'!$C$25)*('01_Inputs'!$C$14)))))))))+0*('01_Inputs'!$C$5))</x:f>
        <x:v>1.3333333333333333</x:v>
      </x:c>
      <x:c r="O15" s="66" t="n">
        <x:f>(((1+0*'01_Inputs'!$C$5))*((((('01_Inputs'!$C$5)*('01_Inputs'!$C$6)))*('01_Inputs'!$C$24)*('01_Inputs'!$C$25)*('01_Inputs'!$C$33)))/(('01_Inputs'!$C$31)*('02_HW'!$C$6))*('02_HW'!$C$10))</x:f>
        <x:v>0.004340665825814171</x:v>
      </x:c>
      <x:c r="P15" s="66" t="n">
        <x:f>(((1+0*'01_Inputs'!$C$5))*(((IF(('01_Inputs'!$C$34)=1,0,(2*((((('01_Inputs'!$C$5)*('01_Inputs'!$C$6)))*('01_Inputs'!$C$24)*('01_Inputs'!$C$25)*('01_Inputs'!$C$14)))))))+((0*'01_Inputs'!$C$5))+((IF(('01_Inputs'!$C$34)=1,0,((((('01_Inputs'!$C$5)*('01_Inputs'!$C$6)))*('01_Inputs'!$C$24)*('01_Inputs'!$C$25)*('01_Inputs'!$C$14)))))))/(('01_Inputs'!$C$32)*('02_HW'!$C$7))*('02_HW'!$C$10))</x:f>
        <x:v>0.9615598423880597</x:v>
      </x:c>
      <x:c r="Q15" s="66" t="n">
        <x:f>(MAX((((1+0*'01_Inputs'!$C$5))*((((('01_Inputs'!$C$5)*('01_Inputs'!$C$6)))*('01_Inputs'!$C$24)*('01_Inputs'!$C$25)*('01_Inputs'!$C$33)))/(('01_Inputs'!$C$31)*('02_HW'!$C$6))*('02_HW'!$C$10)),(((1+0*'01_Inputs'!$C$5))*(((IF(('01_Inputs'!$C$34)=1,0,(2*((((('01_Inputs'!$C$5)*('01_Inputs'!$C$6)))*('01_Inputs'!$C$24)*('01_Inputs'!$C$25)*('01_Inputs'!$C$14)))))))+((0*'01_Inputs'!$C$5))+((IF(('01_Inputs'!$C$34)=1,0,((((('01_Inputs'!$C$5)*('01_Inputs'!$C$6)))*('01_Inputs'!$C$24)*('01_Inputs'!$C$25)*('01_Inputs'!$C$14)))))))/(('01_Inputs'!$C$32)*('02_HW'!$C$7))*('02_HW'!$C$10)))+((1+0*'01_Inputs'!$C$5))*('02_HW'!$C$9)*('02_HW'!$C$10))</x:f>
        <x:v>0.9615598423880597</x:v>
      </x:c>
      <x:c r="R15" s="21" t="str">
        <x:f>IF(O15&gt;P15,"compute",IF(P15&gt;O15,"memory","balanced"))&amp;IF('01_Inputs'!$C$5&gt;0,"","")</x:f>
        <x:v>memory</x:v>
      </x:c>
      <x:c r="S15" s="24" t="str">
        <x:v>Elementwise traffic vanishes only under fusion.</x:v>
      </x:c>
    </x:row>
    <x:row r="16">
      <x:c r="A16" s="21" t="n">
        <x:f>ROW()-5+0*('01_Inputs'!$C$5)</x:f>
        <x:v>11</x:v>
      </x:c>
      <x:c r="B16" s="21" t="str">
        <x:v>prefill</x:v>
      </x:c>
      <x:c r="C16" s="21" t="str">
        <x:v>moe</x:v>
      </x:c>
      <x:c r="D16" s="21" t="str">
        <x:v>expert_down_projection</x:v>
      </x:c>
      <x:c r="E16" s="24" t="str">
        <x:v>2NrDF</x:v>
      </x:c>
      <x:c r="F16" s="66" t="n">
        <x:f>(1+0*'01_Inputs'!$C$5)</x:f>
        <x:v>1</x:v>
      </x:c>
      <x:c r="G16" s="69" t="n">
        <x:f>(2*((('01_Inputs'!$C$5)*('01_Inputs'!$C$6)))*('01_Inputs'!$C$24)*('01_Inputs'!$C$10)*('01_Inputs'!$C$25))</x:f>
        <x:v>17592186044416</x:v>
      </x:c>
      <x:c r="H16" s="69" t="n">
        <x:f>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$25)*('01_Inputs'!$C$14))))))</x:f>
        <x:v>18253611008</x:v>
      </x:c>
      <x:c r="I16" s="69" t="n">
        <x:f>(0*'01_Inputs'!$C$5)</x:f>
        <x:v>0</x:v>
      </x:c>
      <x:c r="J16" s="69" t="n">
        <x:f>(((('01_Inputs'!$C$5)*('01_Inputs'!$C$6)))*('01_Inputs'!$C$24)*('01_Inputs'!$C$10)*('01_Inputs'!$C$14))</x:f>
        <x:v>536870912</x:v>
      </x:c>
      <x:c r="K16" s="69" t="n">
        <x:f>((1+0*'01_Inputs'!$C$5))*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$25)*('01_Inputs'!$C$14)))))))+0*('01_Inputs'!$C$5)</x:f>
        <x:v>18253611008</x:v>
      </x:c>
      <x:c r="L16" s="69" t="n">
        <x:f>((1+0*'01_Inputs'!$C$5))*(((0*'01_Inputs'!$C$5))+((((('01_Inputs'!$C$5)*('01_Inputs'!$C$6)))*('01_Inputs'!$C$24)*('01_Inputs'!$C$10)*('01_Inputs'!$C$14))))+0*('01_Inputs'!$C$5)</x:f>
        <x:v>536870912</x:v>
      </x:c>
      <x:c r="M16" s="69" t="n">
        <x:f>(0*'01_Inputs'!$C$5)</x:f>
        <x:v>0</x:v>
      </x:c>
      <x:c r="N16" s="66" t="n">
        <x:f>IF(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$25)*('01_Inputs'!$C$14)))))))+((0*'01_Inputs'!$C$5))+((((('01_Inputs'!$C$5)*('01_Inputs'!$C$6)))*('01_Inputs'!$C$24)*('01_Inputs'!$C$10)*('01_Inputs'!$C$14)))))=0,"",(((1+0*'01_Inputs'!$C$5))*((2*((('01_Inputs'!$C$5)*('01_Inputs'!$C$6)))*('01_Inputs'!$C$24)*('01_Inputs'!$C$10)*('01_Inputs'!$C$25))))/(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$25)*('01_Inputs'!$C$14)))))))+((0*'01_Inputs'!$C$5))+((((('01_Inputs'!$C$5)*('01_Inputs'!$C$6)))*('01_Inputs'!$C$24)*('01_Inputs'!$C$10)*('01_Inputs'!$C$14))))))+0*('01_Inputs'!$C$5))</x:f>
        <x:v>936.2285714285714</x:v>
      </x:c>
      <x:c r="O16" s="66" t="n">
        <x:f>(((1+0*'01_Inputs'!$C$5))*((2*((('01_Inputs'!$C$5)*('01_Inputs'!$C$6)))*('01_Inputs'!$C$24)*('01_Inputs'!$C$10)*('01_Inputs'!$C$25)))/(('01_Inputs'!$C$31)*('02_HW'!$C$6))*('02_HW'!$C$10))</x:f>
        <x:v>17.779367222534844</x:v>
      </x:c>
      <x:c r="P16" s="66" t="n">
        <x:f>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$25)*('01_Inputs'!$C$14)))))))+((0*'01_Inputs'!$C$5))+((((('01_Inputs'!$C$5)*('01_Inputs'!$C$6)))*('01_Inputs'!$C$24)*('01_Inputs'!$C$10)*('01_Inputs'!$C$14))))/(('01_Inputs'!$C$32)*('02_HW'!$C$7))*('02_HW'!$C$10))</x:f>
        <x:v>5.609099080597015</x:v>
      </x:c>
      <x:c r="Q16" s="66" t="n">
        <x:f>(MAX((((1+0*'01_Inputs'!$C$5))*((2*((('01_Inputs'!$C$5)*('01_Inputs'!$C$6)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$6)))*('01_Inputs'!$C$24))))))*('01_Inputs'!$C$10)*('01_Inputs'!$C$25)*('01_Inputs'!$C$15)*('01_Inputs'!$C$30)))+(IF(('01_Inputs'!$C$34)=1,0,((((('01_Inputs'!$C$5)*('01_Inputs'!$C$6)))*('01_Inputs'!$C$24)*('01_Inputs'!$C$25)*('01_Inputs'!$C$14)))))))+((0*'01_Inputs'!$C$5))+((((('01_Inputs'!$C$5)*('01_Inputs'!$C$6)))*('01_Inputs'!$C$24)*('01_Inputs'!$C$10)*('01_Inputs'!$C$14))))/(('01_Inputs'!$C$32)*('02_HW'!$C$7))*('02_HW'!$C$10)))+((1+0*'01_Inputs'!$C$5))*('02_HW'!$C$9)*('02_HW'!$C$10))</x:f>
        <x:v>17.779367222534844</x:v>
      </x:c>
      <x:c r="R16" s="21" t="str">
        <x:f>IF(O16&gt;P16,"compute",IF(P16&gt;O16,"memory","balanced"))&amp;IF('01_Inputs'!$C$5&gt;0,"","")</x:f>
        <x:v>compute</x:v>
      </x:c>
      <x:c r="S16" s="24" t="str">
        <x:v>Down matrix plus routed output.</x:v>
      </x:c>
    </x:row>
    <x:row r="17">
      <x:c r="A17" s="22" t="n">
        <x:f>ROW()-5+0*('01_Inputs'!$C$5)</x:f>
        <x:v>12</x:v>
      </x:c>
      <x:c r="B17" s="22" t="str">
        <x:v>prefill</x:v>
      </x:c>
      <x:c r="C17" s="22" t="str">
        <x:v>moe</x:v>
      </x:c>
      <x:c r="D17" s="22" t="str">
        <x:v>moe_combine</x:v>
      </x:c>
      <x:c r="E17" s="25" t="str">
        <x:v>combine top-k outputs</x:v>
      </x:c>
      <x:c r="F17" s="67" t="n">
        <x:f>(1+0*'01_Inputs'!$C$5)</x:f>
        <x:v>1</x:v>
      </x:c>
      <x:c r="G17" s="70" t="n">
        <x:f>(0*'01_Inputs'!$C$5)</x:f>
        <x:v>0</x:v>
      </x:c>
      <x:c r="H17" s="70" t="n">
        <x:f>(((('01_Inputs'!$C$5)*('01_Inputs'!$C$6)))*('01_Inputs'!$C$24)*('01_Inputs'!$C$10)*('01_Inputs'!$C$14))</x:f>
        <x:v>536870912</x:v>
      </x:c>
      <x:c r="I17" s="70" t="n">
        <x:f>(((('01_Inputs'!$C$5)*('01_Inputs'!$C$6)))*('01_Inputs'!$C$10)*('01_Inputs'!$C$14))</x:f>
        <x:v>536870912</x:v>
      </x:c>
      <x:c r="J17" s="70" t="n">
        <x:f>(0*'01_Inputs'!$C$5)</x:f>
        <x:v>0</x:v>
      </x:c>
      <x:c r="K17" s="70" t="n">
        <x:f>((1+0*'01_Inputs'!$C$5))*((((('01_Inputs'!$C$5)*('01_Inputs'!$C$6)))*('01_Inputs'!$C$24)*('01_Inputs'!$C$10)*('01_Inputs'!$C$14)))+0*('01_Inputs'!$C$5)</x:f>
        <x:v>536870912</x:v>
      </x:c>
      <x:c r="L17" s="70" t="n">
        <x:f>((1+0*'01_Inputs'!$C$5))*(((((('01_Inputs'!$C$5)*('01_Inputs'!$C$6)))*('01_Inputs'!$C$10)*('01_Inputs'!$C$14)))+((0*'01_Inputs'!$C$5)))+0*('01_Inputs'!$C$5)</x:f>
        <x:v>536870912</x:v>
      </x:c>
      <x:c r="M17" s="70" t="n">
        <x:f>(0*'01_Inputs'!$C$5)</x:f>
        <x:v>0</x:v>
      </x:c>
      <x:c r="N17" s="67" t="n">
        <x:f>IF((((1+0*'01_Inputs'!$C$5))*(((((('01_Inputs'!$C$5)*('01_Inputs'!$C$6)))*('01_Inputs'!$C$24)*('01_Inputs'!$C$10)*('01_Inputs'!$C$14)))+((((('01_Inputs'!$C$5)*('01_Inputs'!$C$6)))*('01_Inputs'!$C$10)*('01_Inputs'!$C$14)))+((0*'01_Inputs'!$C$5))))=0,"",(((1+0*'01_Inputs'!$C$5))*((0*'01_Inputs'!$C$5)))/((((1+0*'01_Inputs'!$C$5))*(((((('01_Inputs'!$C$5)*('01_Inputs'!$C$6)))*('01_Inputs'!$C$24)*('01_Inputs'!$C$10)*('01_Inputs'!$C$14)))+((((('01_Inputs'!$C$5)*('01_Inputs'!$C$6)))*('01_Inputs'!$C$10)*('01_Inputs'!$C$14)))+((0*'01_Inputs'!$C$5)))))+0*('01_Inputs'!$C$5))</x:f>
        <x:v>0</x:v>
      </x:c>
      <x:c r="O17" s="67" t="n">
        <x:f>(((1+0*'01_Inputs'!$C$5))*((0*'01_Inputs'!$C$5))/(('01_Inputs'!$C$31)*('02_HW'!$C$6))*('02_HW'!$C$10))</x:f>
        <x:v>0</x:v>
      </x:c>
      <x:c r="P17" s="67" t="n">
        <x:f>(((1+0*'01_Inputs'!$C$5))*(((((('01_Inputs'!$C$5)*('01_Inputs'!$C$6)))*('01_Inputs'!$C$24)*('01_Inputs'!$C$10)*('01_Inputs'!$C$14)))+((((('01_Inputs'!$C$5)*('01_Inputs'!$C$6)))*('01_Inputs'!$C$10)*('01_Inputs'!$C$14)))+((0*'01_Inputs'!$C$5)))/(('01_Inputs'!$C$32)*('02_HW'!$C$7))*('02_HW'!$C$10))</x:f>
        <x:v>0.3205199474626865</x:v>
      </x:c>
      <x:c r="Q17" s="67" t="n">
        <x:f>(MAX((((1+0*'01_Inputs'!$C$5))*((0*'01_Inputs'!$C$5))/(('01_Inputs'!$C$31)*('02_HW'!$C$6))*('02_HW'!$C$10)),(((1+0*'01_Inputs'!$C$5))*(((((('01_Inputs'!$C$5)*('01_Inputs'!$C$6)))*('01_Inputs'!$C$24)*('01_Inputs'!$C$10)*('01_Inputs'!$C$14)))+((((('01_Inputs'!$C$5)*('01_Inputs'!$C$6)))*('01_Inputs'!$C$10)*('01_Inputs'!$C$14)))+((0*'01_Inputs'!$C$5)))/(('01_Inputs'!$C$32)*('02_HW'!$C$7))*('02_HW'!$C$10)))+((1+0*'01_Inputs'!$C$5))*('02_HW'!$C$9)*('02_HW'!$C$10))</x:f>
        <x:v>0.3205199474626865</x:v>
      </x:c>
      <x:c r="R17" s="22" t="str">
        <x:f>IF(O17&gt;P17,"compute",IF(P17&gt;O17,"memory","balanced"))&amp;IF('01_Inputs'!$C$5&gt;0,"","")</x:f>
        <x:v>memory</x:v>
      </x:c>
      <x:c r="S17" s="25" t="str">
        <x:v>Mandatory block-output write.</x:v>
      </x:c>
    </x:row>
  </x:sheetData>
  <x:mergeCells>
    <x:mergeCell ref="A1:S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27" hidden="0" customWidth="1"/>
    <x:col min="5" max="5" width="3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  <x:col min="19" max="19" width="42" hidden="0" customWidth="1"/>
  </x:cols>
  <x:sheetData>
    <x:row r="1" ht="28" customHeight="1">
      <x:c r="A1" s="3" t="str">
        <x:v>11 · Attention + MoE decode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58" t="str">
        <x:v>Total FLOPs</x:v>
      </x:c>
      <x:c r="B2" s="59" t="str">
        <x:v>HBM read B</x:v>
      </x:c>
      <x:c r="C2" s="59" t="str">
        <x:v>HBM write B</x:v>
      </x:c>
      <x:c r="D2" s="59" t="str">
        <x:v>HBM total B</x:v>
      </x:c>
      <x:c r="E2" s="59" t="str">
        <x:v>Persistent state B</x:v>
      </x:c>
      <x:c r="F2" s="59" t="str">
        <x:v>AI FLOP/B</x:v>
      </x:c>
      <x:c r="G2" s="59" t="str">
        <x:v>Aggregate compute ms</x:v>
      </x:c>
      <x:c r="H2" s="59" t="str">
        <x:v>Aggregate HBM ms</x:v>
      </x:c>
      <x:c r="I2" s="59" t="str">
        <x:v>Aggregate latency ms</x:v>
      </x:c>
      <x:c r="J2" s="59" t="str">
        <x:v>Stagewise latency ms</x:v>
      </x:c>
      <x:c r="K2" s="59" t="str">
        <x:v>Bound</x:v>
      </x:c>
      <x:c r="L2" s="59" t="str">
        <x:v>HBM fit</x:v>
      </x:c>
      <x:c r="M2" s="59" t="str">
        <x:v>Ridge AI</x:v>
      </x:c>
      <x:c r="N2" s="60" t="str">
        <x:v>Ridge class</x:v>
      </x:c>
      <x:c r="O2" s="71"/>
      <x:c r="P2" s="71"/>
      <x:c r="Q2" s="71"/>
      <x:c r="R2" s="71"/>
      <x:c r="S2" s="71"/>
    </x:row>
    <x:row r="3">
      <x:c r="A3" s="63" t="n">
        <x:f>SUM(G6:G18)+0*('01_Inputs'!$C$5)</x:f>
        <x:v>181800013824</x:v>
      </x:c>
      <x:c r="B3" s="63" t="n">
        <x:f>SUM(K6:K18)+0*('01_Inputs'!$C$5)</x:f>
        <x:v>80500169377.34651</x:v>
      </x:c>
      <x:c r="C3" s="63" t="n">
        <x:f>SUM(L6:L18)+0*('01_Inputs'!$C$5)</x:f>
        <x:v>71303424</x:v>
      </x:c>
      <x:c r="D3" s="63" t="n">
        <x:f>SUM(K6:L18)+0*('01_Inputs'!$C$5)</x:f>
        <x:v>80571472801.34651</x:v>
      </x:c>
      <x:c r="E3" s="63" t="n">
        <x:f>SUM(M6:M18)+0*('01_Inputs'!$C$5)</x:f>
        <x:v>68719476736</x:v>
      </x:c>
      <x:c r="F3" s="64" t="n">
        <x:f>IF(SUM(K6:L18)=0,"",SUM(G6:G18)/SUM(K6:L18)+0*('01_Inputs'!$C$5))</x:f>
        <x:v>2.2563819116505184</x:v>
      </x:c>
      <x:c r="G3" s="64" t="n">
        <x:f>SUM(O6:O18)+0*('01_Inputs'!$C$5)</x:f>
        <x:v>0.18373436926360726</x:v>
      </x:c>
      <x:c r="H3" s="64" t="n">
        <x:f>SUM(P6:P18)+0*('01_Inputs'!$C$5)</x:f>
        <x:v>24.051185910849703</x:v>
      </x:c>
      <x:c r="I3" s="64" t="n">
        <x:f>MAX(SUM(O6:O18),SUM(P6:P18))+0*('01_Inputs'!$C$5)</x:f>
        <x:v>24.051185910849703</x:v>
      </x:c>
      <x:c r="J3" s="64" t="n">
        <x:f>SUM(Q6:Q18)+0*('01_Inputs'!$C$5)</x:f>
        <x:v>24.051185910849703</x:v>
      </x:c>
      <x:c r="K3" s="62" t="str">
        <x:f>IF(SUM(O6:O18)&gt;SUM(P6:P18),"compute",IF(SUM(P6:P18)&gt;SUM(O6:O18),"memory","balanced"))&amp;IF('01_Inputs'!$C$5&gt;0,"","")</x:f>
        <x:v>memory</x:v>
      </x:c>
      <x:c r="L3" s="62" t="str">
        <x:f>IF(SUM(M6:M18)&lt;='02_HW'!$C$8,"FIT","EXCEEDS")&amp;IF('01_Inputs'!$C$5&gt;0,"","")</x:f>
        <x:v>FIT</x:v>
      </x:c>
      <x:c r="M3" s="64" t="n">
        <x:f>'02_HW'!$C$6/'02_HW'!$C$7+0*('01_Inputs'!$C$5)</x:f>
        <x:v>295.36477611940296</x:v>
      </x:c>
      <x:c r="N3" s="62" t="str">
        <x:f>IF(F3&gt;=M3,"compute-side","memory-side")&amp;IF('01_Inputs'!$C$5&gt;0,"","")</x:f>
        <x:v>memory-side</x:v>
      </x:c>
      <x:c r="O3" s="72"/>
      <x:c r="P3" s="72"/>
      <x:c r="Q3" s="72"/>
      <x:c r="R3" s="72"/>
      <x:c r="S3" s="72"/>
    </x:row>
    <x:row r="5" ht="34" customHeight="1">
      <x:c r="A5" s="14" t="str">
        <x:v>Order</x:v>
      </x:c>
      <x:c r="B5" s="28" t="str">
        <x:v>Phase</x:v>
      </x:c>
      <x:c r="C5" s="28" t="str">
        <x:v>Component</x:v>
      </x:c>
      <x:c r="D5" s="28" t="str">
        <x:v>Stage</x:v>
      </x:c>
      <x:c r="E5" s="28" t="str">
        <x:v>Symbolic equation</x:v>
      </x:c>
      <x:c r="F5" s="28" t="str">
        <x:v>Executions/cadence</x:v>
      </x:c>
      <x:c r="G5" s="28" t="str">
        <x:v>FLOPs</x:v>
      </x:c>
      <x:c r="H5" s="28" t="str">
        <x:v>Required read B</x:v>
      </x:c>
      <x:c r="I5" s="28" t="str">
        <x:v>Mandatory write B</x:v>
      </x:c>
      <x:c r="J5" s="28" t="str">
        <x:v>Temporary/fusible write B</x:v>
      </x:c>
      <x:c r="K5" s="28" t="str">
        <x:v>Effective read B</x:v>
      </x:c>
      <x:c r="L5" s="28" t="str">
        <x:v>Effective write B</x:v>
      </x:c>
      <x:c r="M5" s="28" t="str">
        <x:v>Persistent state B</x:v>
      </x:c>
      <x:c r="N5" s="28" t="str">
        <x:v>AI</x:v>
      </x:c>
      <x:c r="O5" s="28" t="str">
        <x:v>Compute ms</x:v>
      </x:c>
      <x:c r="P5" s="28" t="str">
        <x:v>HBM ms</x:v>
      </x:c>
      <x:c r="Q5" s="28" t="str">
        <x:v>Roofline ms</x:v>
      </x:c>
      <x:c r="R5" s="28" t="str">
        <x:v>Bound</x:v>
      </x:c>
      <x:c r="S5" s="15" t="str">
        <x:v>Evidence/assumption</x:v>
      </x:c>
    </x:row>
    <x:row r="6">
      <x:c r="A6" s="20" t="n">
        <x:f>ROW()-5+0*('01_Inputs'!$C$5)</x:f>
        <x:v>1</x:v>
      </x:c>
      <x:c r="B6" s="20" t="str">
        <x:v>decode</x:v>
      </x:c>
      <x:c r="C6" s="20" t="str">
        <x:v>attention</x:v>
      </x:c>
      <x:c r="D6" s="20" t="str">
        <x:v>qkv_projection</x:v>
      </x:c>
      <x:c r="E6" s="23" t="str">
        <x:v>2ND(Dq+2Dkv)</x:v>
      </x:c>
      <x:c r="F6" s="65" t="n">
        <x:f>(1+0*'01_Inputs'!$C$5)</x:f>
        <x:v>1</x:v>
      </x:c>
      <x:c r="G6" s="68" t="n">
        <x:f>(2*((('01_Inputs'!$C$5)*('01_Inputs'!$C$8)))*('01_Inputs'!$C$10)*(((('01_Inputs'!$C$12)*('01_Inputs'!$C$11)))+2*((('01_Inputs'!$C$13)*('01_Inputs'!$C$11)))))</x:f>
        <x:v>12884901888</x:v>
      </x:c>
      <x:c r="H6" s="68" t="n">
        <x:f>(((('01_Inputs'!$C$5)*('01_Inputs'!$C$8)))*('01_Inputs'!$C$10)*('01_Inputs'!$C$14)+('01_Inputs'!$C$10)*(((('01_Inputs'!$C$12)*('01_Inputs'!$C$11)))+2*((('01_Inputs'!$C$13)*('01_Inputs'!$C$11))))*('01_Inputs'!$C$15))</x:f>
        <x:v>201588736</x:v>
      </x:c>
      <x:c r="I6" s="68" t="n">
        <x:f>(0*'01_Inputs'!$C$5)</x:f>
        <x:v>0</x:v>
      </x:c>
      <x:c r="J6" s="68" t="n">
        <x:f>(((('01_Inputs'!$C$5)*('01_Inputs'!$C$8)))*((('01_Inputs'!$C$12)*('01_Inputs'!$C$11)))*('01_Inputs'!$C$14))</x:f>
        <x:v>262144</x:v>
      </x:c>
      <x:c r="K6" s="68" t="n">
        <x:f>((1+0*'01_Inputs'!$C$5))*((((('01_Inputs'!$C$5)*('01_Inputs'!$C$8)))*('01_Inputs'!$C$10)*('01_Inputs'!$C$14)+('01_Inputs'!$C$10)*(((('01_Inputs'!$C$12)*('01_Inputs'!$C$11)))+2*((('01_Inputs'!$C$13)*('01_Inputs'!$C$11))))*('01_Inputs'!$C$15)))+0*('01_Inputs'!$C$5)</x:f>
        <x:v>201588736</x:v>
      </x:c>
      <x:c r="L6" s="68" t="n">
        <x:f>((1+0*'01_Inputs'!$C$5))*(((0*'01_Inputs'!$C$5))+((((('01_Inputs'!$C$5)*('01_Inputs'!$C$8)))*((('01_Inputs'!$C$12)*('01_Inputs'!$C$11)))*('01_Inputs'!$C$14))))+0*('01_Inputs'!$C$5)</x:f>
        <x:v>262144</x:v>
      </x:c>
      <x:c r="M6" s="68" t="n">
        <x:f>(0*'01_Inputs'!$C$5)</x:f>
        <x:v>0</x:v>
      </x:c>
      <x:c r="N6" s="65" t="n">
        <x:f>IF(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)=0,"",(((1+0*'01_Inputs'!$C$5))*((2*((('01_Inputs'!$C$5)*('01_Inputs'!$C$8)))*('01_Inputs'!$C$10)*(((('01_Inputs'!$C$12)*('01_Inputs'!$C$11)))+2*((('01_Inputs'!$C$13)*('01_Inputs'!$C$11)))))))/(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))+0*('01_Inputs'!$C$5))</x:f>
        <x:v>63.833766233766234</x:v>
      </x:c>
      <x:c r="O6" s="65" t="n">
        <x:f>(((1+0*'01_Inputs'!$C$5))*((2*((('01_Inputs'!$C$5)*('01_Inputs'!$C$8)))*('01_Inputs'!$C$10)*(((('01_Inputs'!$C$12)*('01_Inputs'!$C$11)))+2*((('01_Inputs'!$C$13)*('01_Inputs'!$C$11))))))/(('01_Inputs'!$C$31)*('02_HW'!$C$6))*('02_HW'!$C$10))</x:f>
        <x:v>0.013021997477442515</x:v>
      </x:c>
      <x:c r="P6" s="65" t="n">
        <x:f>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</x:f>
        <x:v>0.06025399402985075</x:v>
      </x:c>
      <x:c r="Q6" s="65" t="n">
        <x:f>(MAX((((1+0*'01_Inputs'!$C$5))*((2*((('01_Inputs'!$C$5)*('01_Inputs'!$C$8)))*('01_Inputs'!$C$10)*(((('01_Inputs'!$C$12)*('01_Inputs'!$C$11)))+2*((('01_Inputs'!$C$13)*('01_Inputs'!$C$11))))))/(('01_Inputs'!$C$31)*('02_HW'!$C$6))*('02_HW'!$C$10)),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)+((1+0*'01_Inputs'!$C$5))*('02_HW'!$C$9)*('02_HW'!$C$10))</x:f>
        <x:v>0.06025399402985075</x:v>
      </x:c>
      <x:c r="R6" s="20" t="str">
        <x:f>IF(O6&gt;P6,"compute",IF(P6&gt;O6,"memory","balanced"))&amp;IF('01_Inputs'!$C$5&gt;0,"","")</x:f>
        <x:v>memory</x:v>
      </x:c>
      <x:c r="S6" s="23" t="str">
        <x:v>Explicit Q materialization; K/V append follows.</x:v>
      </x:c>
    </x:row>
    <x:row r="7">
      <x:c r="A7" s="21" t="n">
        <x:f>ROW()-5+0*('01_Inputs'!$C$5)</x:f>
        <x:v>2</x:v>
      </x:c>
      <x:c r="B7" s="21" t="str">
        <x:v>decode</x:v>
      </x:c>
      <x:c r="C7" s="21" t="str">
        <x:v>attention</x:v>
      </x:c>
      <x:c r="D7" s="21" t="str">
        <x:v>kv_cache_append</x:v>
      </x:c>
      <x:c r="E7" s="24" t="str">
        <x:v>2BQDkv bkv</x:v>
      </x:c>
      <x:c r="F7" s="66" t="n">
        <x:f>(1+0*'01_Inputs'!$C$5)</x:f>
        <x:v>1</x:v>
      </x:c>
      <x:c r="G7" s="69" t="n">
        <x:f>(0*'01_Inputs'!$C$5)</x:f>
        <x:v>0</x:v>
      </x:c>
      <x:c r="H7" s="69" t="n">
        <x:f>(0*'01_Inputs'!$C$5)</x:f>
        <x:v>0</x:v>
      </x:c>
      <x:c r="I7" s="69" t="n">
        <x:f>(2*((('01_Inputs'!$C$5)*('01_Inputs'!$C$8)))*((('01_Inputs'!$C$13)*('01_Inputs'!$C$11)))*('01_Inputs'!$C$16))</x:f>
        <x:v>524288</x:v>
      </x:c>
      <x:c r="J7" s="69" t="n">
        <x:f>(0*'01_Inputs'!$C$5)</x:f>
        <x:v>0</x:v>
      </x:c>
      <x:c r="K7" s="69" t="n">
        <x:f>((1+0*'01_Inputs'!$C$5))*((0*'01_Inputs'!$C$5))+0*('01_Inputs'!$C$5)</x:f>
        <x:v>0</x:v>
      </x:c>
      <x:c r="L7" s="69" t="n">
        <x:f>((1+0*'01_Inputs'!$C$5))*(((2*((('01_Inputs'!$C$5)*('01_Inputs'!$C$8)))*((('01_Inputs'!$C$13)*('01_Inputs'!$C$11)))*('01_Inputs'!$C$16)))+((0*'01_Inputs'!$C$5)))+0*('01_Inputs'!$C$5)</x:f>
        <x:v>524288</x:v>
      </x:c>
      <x:c r="M7" s="69" t="n">
        <x:f>(2*('01_Inputs'!$C$5)*('01_Inputs'!$C$9)*((('01_Inputs'!$C$13)*('01_Inputs'!$C$11)))*('01_Inputs'!$C$16))</x:f>
        <x:v>68719476736</x:v>
      </x:c>
      <x:c r="N7" s="66" t="n">
        <x:f>IF((((1+0*'01_Inputs'!$C$5))*(((0*'01_Inputs'!$C$5))+((2*((('01_Inputs'!$C$5)*('01_Inputs'!$C$8)))*((('01_Inputs'!$C$13)*('01_Inputs'!$C$11)))*('01_Inputs'!$C$16)))+((0*'01_Inputs'!$C$5))))=0,"",(((1+0*'01_Inputs'!$C$5))*((0*'01_Inputs'!$C$5)))/((((1+0*'01_Inputs'!$C$5))*(((0*'01_Inputs'!$C$5))+((2*((('01_Inputs'!$C$5)*('01_Inputs'!$C$8)))*((('01_Inputs'!$C$13)*('01_Inputs'!$C$11)))*('01_Inputs'!$C$16)))+((0*'01_Inputs'!$C$5)))))+0*('01_Inputs'!$C$5))</x:f>
        <x:v>0</x:v>
      </x:c>
      <x:c r="O7" s="66" t="n">
        <x:f>(((1+0*'01_Inputs'!$C$5))*((0*'01_Inputs'!$C$5))/(('01_Inputs'!$C$31)*('02_HW'!$C$6))*('02_HW'!$C$10))</x:f>
        <x:v>0</x:v>
      </x:c>
      <x:c r="P7" s="66" t="n">
        <x:f>(((1+0*'01_Inputs'!$C$5))*(((0*'01_Inputs'!$C$5))+((2*((('01_Inputs'!$C$5)*('01_Inputs'!$C$8)))*((('01_Inputs'!$C$13)*('01_Inputs'!$C$11)))*('01_Inputs'!$C$16)))+((0*'01_Inputs'!$C$5)))/(('01_Inputs'!$C$32)*('02_HW'!$C$7))*('02_HW'!$C$10))</x:f>
        <x:v>0.0001565038805970149</x:v>
      </x:c>
      <x:c r="Q7" s="66" t="n">
        <x:f>(MAX((((1+0*'01_Inputs'!$C$5))*((0*'01_Inputs'!$C$5))/(('01_Inputs'!$C$31)*('02_HW'!$C$6))*('02_HW'!$C$10)),(((1+0*'01_Inputs'!$C$5))*(((0*'01_Inputs'!$C$5))+((2*((('01_Inputs'!$C$5)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R7" s="21" t="str">
        <x:f>IF(O7&gt;P7,"compute",IF(P7&gt;O7,"memory","balanced"))&amp;IF('01_Inputs'!$C$5&gt;0,"","")</x:f>
        <x:v>memory</x:v>
      </x:c>
      <x:c r="S7" s="24" t="str">
        <x:v>Append is invocation-local; state is full KV residency.</x:v>
      </x:c>
    </x:row>
    <x:row r="8">
      <x:c r="A8" s="21" t="n">
        <x:f>ROW()-5+0*('01_Inputs'!$C$5)</x:f>
        <x:v>3</x:v>
      </x:c>
      <x:c r="B8" s="21" t="str">
        <x:v>decode</x:v>
      </x:c>
      <x:c r="C8" s="21" t="str">
        <x:v>attention</x:v>
      </x:c>
      <x:c r="D8" s="21" t="str">
        <x:v>q_materialization_read</x:v>
      </x:c>
      <x:c r="E8" s="24" t="str">
        <x:v>NDq ba</x:v>
      </x:c>
      <x:c r="F8" s="66" t="n">
        <x:f>(1+0*'01_Inputs'!$C$5)</x:f>
        <x:v>1</x:v>
      </x:c>
      <x:c r="G8" s="69" t="n">
        <x:f>(0*'01_Inputs'!$C$5)</x:f>
        <x:v>0</x:v>
      </x:c>
      <x:c r="H8" s="69" t="n">
        <x:f>(((('01_Inputs'!$C$5)*('01_Inputs'!$C$8)))*((('01_Inputs'!$C$12)*('01_Inputs'!$C$11)))*('01_Inputs'!$C$14))</x:f>
        <x:v>262144</x:v>
      </x:c>
      <x:c r="I8" s="69" t="n">
        <x:f>(0*'01_Inputs'!$C$5)</x:f>
        <x:v>0</x:v>
      </x:c>
      <x:c r="J8" s="69" t="n">
        <x:f>(0*'01_Inputs'!$C$5)</x:f>
        <x:v>0</x:v>
      </x:c>
      <x:c r="K8" s="69" t="n">
        <x:f>((1+0*'01_Inputs'!$C$5))*((((('01_Inputs'!$C$5)*('01_Inputs'!$C$8)))*((('01_Inputs'!$C$12)*('01_Inputs'!$C$11)))*('01_Inputs'!$C$14)))+0*('01_Inputs'!$C$5)</x:f>
        <x:v>262144</x:v>
      </x:c>
      <x:c r="L8" s="69" t="n">
        <x:f>((1+0*'01_Inputs'!$C$5))*(((0*'01_Inputs'!$C$5))+((0*'01_Inputs'!$C$5)))+0*('01_Inputs'!$C$5)</x:f>
        <x:v>0</x:v>
      </x:c>
      <x:c r="M8" s="69" t="n">
        <x:f>(0*'01_Inputs'!$C$5)</x:f>
        <x:v>0</x:v>
      </x:c>
      <x:c r="N8" s="66" t="n">
        <x:f>IF((((1+0*'01_Inputs'!$C$5))*(((((('01_Inputs'!$C$5)*('01_Inputs'!$C$8)))*((('01_Inputs'!$C$12)*('01_Inputs'!$C$11)))*('01_Inputs'!$C$14)))+((0*'01_Inputs'!$C$5))+((0*'01_Inputs'!$C$5))))=0,"",(((1+0*'01_Inputs'!$C$5))*((0*'01_Inputs'!$C$5)))/((((1+0*'01_Inputs'!$C$5))*(((((('01_Inputs'!$C$5)*('01_Inputs'!$C$8)))*((('01_Inputs'!$C$12)*('01_Inputs'!$C$11)))*('01_Inputs'!$C$14)))+((0*'01_Inputs'!$C$5))+((0*'01_Inputs'!$C$5)))))+0*('01_Inputs'!$C$5))</x:f>
        <x:v>0</x:v>
      </x:c>
      <x:c r="O8" s="66" t="n">
        <x:f>(((1+0*'01_Inputs'!$C$5))*((0*'01_Inputs'!$C$5))/(('01_Inputs'!$C$31)*('02_HW'!$C$6))*('02_HW'!$C$10))</x:f>
        <x:v>0</x:v>
      </x:c>
      <x:c r="P8" s="66" t="n">
        <x:f>(((1+0*'01_Inputs'!$C$5))*(((((('01_Inputs'!$C$5)*('01_Inputs'!$C$8)))*((('01_Inputs'!$C$12)*('01_Inputs'!$C$11)))*('01_Inputs'!$C$14)))+((0*'01_Inputs'!$C$5))+((0*'01_Inputs'!$C$5)))/(('01_Inputs'!$C$32)*('02_HW'!$C$7))*('02_HW'!$C$10))</x:f>
        <x:v>0.00007825194029850745</x:v>
      </x:c>
      <x:c r="Q8" s="66" t="n">
        <x:f>(MAX((((1+0*'01_Inputs'!$C$5))*((0*'01_Inputs'!$C$5))/(('01_Inputs'!$C$31)*('02_HW'!$C$6))*('02_HW'!$C$10)),(((1+0*'01_Inputs'!$C$5))*(((((('01_Inputs'!$C$5)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R8" s="21" t="str">
        <x:f>IF(O8&gt;P8,"compute",IF(P8&gt;O8,"memory","balanced"))&amp;IF('01_Inputs'!$C$5&gt;0,"","")</x:f>
        <x:v>memory</x:v>
      </x:c>
      <x:c r="S8" s="24" t="str">
        <x:v>Fusible Q read remains explicit.</x:v>
      </x:c>
    </x:row>
    <x:row r="9">
      <x:c r="A9" s="21" t="n">
        <x:f>ROW()-5+0*('01_Inputs'!$C$5)</x:f>
        <x:v>4</x:v>
      </x:c>
      <x:c r="B9" s="21" t="str">
        <x:v>decode</x:v>
      </x:c>
      <x:c r="C9" s="21" t="str">
        <x:v>attention</x:v>
      </x:c>
      <x:c r="D9" s="21" t="str">
        <x:v>flash_decode_partials</x:v>
      </x:c>
      <x:c r="E9" s="24" t="str">
        <x:v>4BHqQKdh + csoftmaxBHqQK</x:v>
      </x:c>
      <x:c r="F9" s="66" t="n">
        <x:f>(1+0*'01_Inputs'!$C$5)</x:f>
        <x:v>1</x:v>
      </x:c>
      <x:c r="G9" s="69" t="n">
        <x:f>(4*((('01_Inputs'!$C$5)*('01_Inputs'!$C$12)*('01_Inputs'!$C$8)*('01_Inputs'!$C$9)))*('01_Inputs'!$C$11)+('01_Inputs'!$C$22)*((('01_Inputs'!$C$5)*('01_Inputs'!$C$12)*('01_Inputs'!$C$8)*('01_Inputs'!$C$9))))</x:f>
        <x:v>138781130752</x:v>
      </x:c>
      <x:c r="H9" s="69" t="n">
        <x:f>(2*('01_Inputs'!$C$5)*('01_Inputs'!$C$9)*((('01_Inputs'!$C$13)*('01_Inputs'!$C$11)))*('01_Inputs'!$C$16)*('01_Inputs'!$C$21))</x:f>
        <x:v>68719476736</x:v>
      </x:c>
      <x:c r="I9" s="69" t="n">
        <x:f>(IF(('01_Inputs'!$C$19)=1,(((('01_Inputs'!$C$5)*('01_Inputs'!$C$8)))*((('01_Inputs'!$C$12)*('01_Inputs'!$C$11)))*('01_Inputs'!$C$14)),0))</x:f>
        <x:v>0</x:v>
      </x:c>
      <x:c r="J9" s="69" t="n">
        <x:f>(IF(('01_Inputs'!$C$19)=1,0,('01_Inputs'!$C$5)*('01_Inputs'!$C$8)*('01_Inputs'!$C$12)*('01_Inputs'!$C$19)*(('01_Inputs'!$C$11)*('01_Inputs'!$C$17)+('01_Inputs'!$C$18))))</x:f>
        <x:v>67633152</x:v>
      </x:c>
      <x:c r="K9" s="69" t="n">
        <x:f>((1+0*'01_Inputs'!$C$5))*((2*('01_Inputs'!$C$5)*('01_Inputs'!$C$9)*((('01_Inputs'!$C$13)*('01_Inputs'!$C$11)))*('01_Inputs'!$C$16)*('01_Inputs'!$C$21)))+0*('01_Inputs'!$C$5)</x:f>
        <x:v>68719476736</x:v>
      </x:c>
      <x:c r="L9" s="69" t="n">
        <x:f>((1+0*'01_Inputs'!$C$5))*(((IF(('01_Inputs'!$C$19)=1,(((('01_Inputs'!$C$5)*('01_Inputs'!$C$8)))*((('01_Inputs'!$C$12)*('01_Inputs'!$C$11)))*('01_Inputs'!$C$14)),0)))+((IF(('01_Inputs'!$C$19)=1,0,('01_Inputs'!$C$5)*('01_Inputs'!$C$8)*('01_Inputs'!$C$12)*('01_Inputs'!$C$19)*(('01_Inputs'!$C$11)*('01_Inputs'!$C$17)+('01_Inputs'!$C$18))))))+0*('01_Inputs'!$C$5)</x:f>
        <x:v>67633152</x:v>
      </x:c>
      <x:c r="M9" s="69" t="n">
        <x:f>(0*'01_Inputs'!$C$5)</x:f>
        <x:v>0</x:v>
      </x:c>
      <x:c r="N9" s="66" t="n">
        <x:f>IF((((1+0*'01_Inputs'!$C$5))*(((2*('01_Inputs'!$C$5)*('01_Inputs'!$C$9)*((('01_Inputs'!$C$13)*('01_Inputs'!$C$11)))*('01_Inputs'!$C$16)*('01_Inputs'!$C$21)))+((IF(('01_Inputs'!$C$19)=1,(((('01_Inputs'!$C$5)*('01_Inputs'!$C$8)))*((('01_Inputs'!$C$12)*('01_Inputs'!$C$11)))*('01_Inputs'!$C$14)),0)))+((IF(('01_Inputs'!$C$19)=1,0,('01_Inputs'!$C$5)*('01_Inputs'!$C$8)*('01_Inputs'!$C$12)*('01_Inputs'!$C$19)*(('01_Inputs'!$C$11)*('01_Inputs'!$C$17)+('01_Inputs'!$C$18)))))))=0,"",(((1+0*'01_Inputs'!$C$5))*((4*((('01_Inputs'!$C$5)*('01_Inputs'!$C$12)*('01_Inputs'!$C$8)*('01_Inputs'!$C$9)))*('01_Inputs'!$C$11)+('01_Inputs'!$C$22)*((('01_Inputs'!$C$5)*('01_Inputs'!$C$12)*('01_Inputs'!$C$8)*('01_Inputs'!$C$9))))))/((((1+0*'01_Inputs'!$C$5))*(((2*('01_Inputs'!$C$5)*('01_Inputs'!$C$9)*((('01_Inputs'!$C$13)*('01_Inputs'!$C$11)))*('01_Inputs'!$C$16)*('01_Inputs'!$C$21)))+((IF(('01_Inputs'!$C$19)=1,(((('01_Inputs'!$C$5)*('01_Inputs'!$C$8)))*((('01_Inputs'!$C$12)*('01_Inputs'!$C$11)))*('01_Inputs'!$C$14)),0)))+((IF(('01_Inputs'!$C$19)=1,0,('01_Inputs'!$C$5)*('01_Inputs'!$C$8)*('01_Inputs'!$C$12)*('01_Inputs'!$C$19)*(('01_Inputs'!$C$11)*('01_Inputs'!$C$17)+('01_Inputs'!$C$18))))))))+0*('01_Inputs'!$C$5))</x:f>
        <x:v>2.017545597975625</x:v>
      </x:c>
      <x:c r="O9" s="66" t="n">
        <x:f>(((1+0*'01_Inputs'!$C$5))*((4*((('01_Inputs'!$C$5)*('01_Inputs'!$C$12)*('01_Inputs'!$C$8)*('01_Inputs'!$C$9)))*('01_Inputs'!$C$11)+('01_Inputs'!$C$22)*((('01_Inputs'!$C$5)*('01_Inputs'!$C$12)*('01_Inputs'!$C$8)*('01_Inputs'!$C$9)))))/(('01_Inputs'!$C$31)*('02_HW'!$C$6))*('02_HW'!$C$10))</x:f>
        <x:v>0.14025776449662042</x:v>
      </x:c>
      <x:c r="P9" s="66" t="n">
        <x:f>(((1+0*'01_Inputs'!$C$5))*(((2*('01_Inputs'!$C$5)*('01_Inputs'!$C$9)*((('01_Inputs'!$C$13)*('01_Inputs'!$C$11)))*('01_Inputs'!$C$16)*('01_Inputs'!$C$21)))+((IF(('01_Inputs'!$C$19)=1,(((('01_Inputs'!$C$5)*('01_Inputs'!$C$8)))*((('01_Inputs'!$C$12)*('01_Inputs'!$C$11)))*('01_Inputs'!$C$14)),0)))+((IF(('01_Inputs'!$C$19)=1,0,('01_Inputs'!$C$5)*('01_Inputs'!$C$8)*('01_Inputs'!$C$12)*('01_Inputs'!$C$19)*(('01_Inputs'!$C$11)*('01_Inputs'!$C$17)+('01_Inputs'!$C$18))))))/(('01_Inputs'!$C$32)*('02_HW'!$C$7))*('02_HW'!$C$10))</x:f>
        <x:v>20.533465638208956</x:v>
      </x:c>
      <x:c r="Q9" s="66" t="n">
        <x:f>(MAX((((1+0*'01_Inputs'!$C$5))*((4*((('01_Inputs'!$C$5)*('01_Inputs'!$C$12)*('01_Inputs'!$C$8)*('01_Inputs'!$C$9)))*('01_Inputs'!$C$11)+('01_Inputs'!$C$22)*((('01_Inputs'!$C$5)*('01_Inputs'!$C$12)*('01_Inputs'!$C$8)*('01_Inputs'!$C$9)))))/(('01_Inputs'!$C$31)*('02_HW'!$C$6))*('02_HW'!$C$10)),(((1+0*'01_Inputs'!$C$5))*(((2*('01_Inputs'!$C$5)*('01_Inputs'!$C$9)*((('01_Inputs'!$C$13)*('01_Inputs'!$C$11)))*('01_Inputs'!$C$16)*('01_Inputs'!$C$21)))+((IF(('01_Inputs'!$C$19)=1,(((('01_Inputs'!$C$5)*('01_Inputs'!$C$8)))*((('01_Inputs'!$C$12)*('01_Inputs'!$C$11)))*('01_Inputs'!$C$14)),0)))+((IF(('01_Inputs'!$C$19)=1,0,('01_Inputs'!$C$5)*('01_Inputs'!$C$8)*('01_Inputs'!$C$12)*('01_Inputs'!$C$19)*(('01_Inputs'!$C$11)*('01_Inputs'!$C$17)+('01_Inputs'!$C$18))))))/(('01_Inputs'!$C$32)*('02_HW'!$C$7))*('02_HW'!$C$10)))+((1+0*'01_Inputs'!$C$5))*('02_HW'!$C$9)*('02_HW'!$C$10))</x:f>
        <x:v>20.533465638208956</x:v>
      </x:c>
      <x:c r="R9" s="21" t="str">
        <x:f>IF(O9&gt;P9,"compute",IF(P9&gt;O9,"memory","balanced"))&amp;IF('01_Inputs'!$C$5&gt;0,"","")</x:f>
        <x:v>memory</x:v>
      </x:c>
      <x:c r="S9" s="24" t="str">
        <x:v>KV traffic is linear in K; split partials only for G&gt;1.</x:v>
      </x:c>
    </x:row>
    <x:row r="10">
      <x:c r="A10" s="21" t="n">
        <x:f>ROW()-5+0*('01_Inputs'!$C$5)</x:f>
        <x:v>5</x:v>
      </x:c>
      <x:c r="B10" s="21" t="str">
        <x:v>decode</x:v>
      </x:c>
      <x:c r="C10" s="21" t="str">
        <x:v>attention</x:v>
      </x:c>
      <x:c r="D10" s="21" t="str">
        <x:v>flash_decode_reduce</x:v>
      </x:c>
      <x:c r="E10" s="24" t="str">
        <x:v>read partials; write O</x:v>
      </x:c>
      <x:c r="F10" s="66" t="n">
        <x:f>(IF(('01_Inputs'!$C$19)&gt;1,1,0)+0*'01_Inputs'!$C$5)</x:f>
        <x:v>1</x:v>
      </x:c>
      <x:c r="G10" s="69" t="n">
        <x:f>(0*'01_Inputs'!$C$5)</x:f>
        <x:v>0</x:v>
      </x:c>
      <x:c r="H10" s="69" t="n">
        <x:f>(IF(('01_Inputs'!$C$19)=1,0,('01_Inputs'!$C$5)*('01_Inputs'!$C$8)*('01_Inputs'!$C$12)*('01_Inputs'!$C$19)*(('01_Inputs'!$C$11)*('01_Inputs'!$C$17)+('01_Inputs'!$C$18))))</x:f>
        <x:v>67633152</x:v>
      </x:c>
      <x:c r="I10" s="69" t="n">
        <x:f>(((('01_Inputs'!$C$5)*('01_Inputs'!$C$8)))*((('01_Inputs'!$C$12)*('01_Inputs'!$C$11)))*('01_Inputs'!$C$14))</x:f>
        <x:v>262144</x:v>
      </x:c>
      <x:c r="J10" s="69" t="n">
        <x:f>(0*'01_Inputs'!$C$5)</x:f>
        <x:v>0</x:v>
      </x:c>
      <x:c r="K10" s="69" t="n">
        <x:f>((IF(('01_Inputs'!$C$19)&gt;1,1,0)+0*'01_Inputs'!$C$5))*((IF(('01_Inputs'!$C$19)=1,0,('01_Inputs'!$C$5)*('01_Inputs'!$C$8)*('01_Inputs'!$C$12)*('01_Inputs'!$C$19)*(('01_Inputs'!$C$11)*('01_Inputs'!$C$17)+('01_Inputs'!$C$18)))))+0*('01_Inputs'!$C$5)</x:f>
        <x:v>67633152</x:v>
      </x:c>
      <x:c r="L10" s="69" t="n">
        <x:f>((IF(('01_Inputs'!$C$19)&gt;1,1,0)+0*'01_Inputs'!$C$5))*(((((('01_Inputs'!$C$5)*('01_Inputs'!$C$8)))*((('01_Inputs'!$C$12)*('01_Inputs'!$C$11)))*('01_Inputs'!$C$14)))+((0*'01_Inputs'!$C$5)))+0*('01_Inputs'!$C$5)</x:f>
        <x:v>262144</x:v>
      </x:c>
      <x:c r="M10" s="69" t="n">
        <x:f>(0*'01_Inputs'!$C$5)</x:f>
        <x:v>0</x:v>
      </x:c>
      <x:c r="N10" s="66" t="n">
        <x:f>IF((((IF(('01_Inputs'!$C$19)&gt;1,1,0)+0*'01_Inputs'!$C$5))*(((IF(('01_Inputs'!$C$19)=1,0,('01_Inputs'!$C$5)*('01_Inputs'!$C$8)*('01_Inputs'!$C$12)*('01_Inputs'!$C$19)*(('01_Inputs'!$C$11)*('01_Inputs'!$C$17)+('01_Inputs'!$C$18)))))+((((('01_Inputs'!$C$5)*('01_Inputs'!$C$8)))*((('01_Inputs'!$C$12)*('01_Inputs'!$C$11)))*('01_Inputs'!$C$14)))+((0*'01_Inputs'!$C$5))))=0,"",(((IF(('01_Inputs'!$C$19)&gt;1,1,0)+0*'01_Inputs'!$C$5))*((0*'01_Inputs'!$C$5)))/((((IF(('01_Inputs'!$C$19)&gt;1,1,0)+0*'01_Inputs'!$C$5))*(((IF(('01_Inputs'!$C$19)=1,0,('01_Inputs'!$C$5)*('01_Inputs'!$C$8)*('01_Inputs'!$C$12)*('01_Inputs'!$C$19)*(('01_Inputs'!$C$11)*('01_Inputs'!$C$17)+('01_Inputs'!$C$18)))))+((((('01_Inputs'!$C$5)*('01_Inputs'!$C$8)))*((('01_Inputs'!$C$12)*('01_Inputs'!$C$11)))*('01_Inputs'!$C$14)))+((0*'01_Inputs'!$C$5)))))+0*('01_Inputs'!$C$5))</x:f>
        <x:v>0</x:v>
      </x:c>
      <x:c r="O10" s="66" t="n">
        <x:f>(((IF(('01_Inputs'!$C$19)&gt;1,1,0)+0*'01_Inputs'!$C$5))*((0*'01_Inputs'!$C$5))/(('01_Inputs'!$C$31)*('02_HW'!$C$6))*('02_HW'!$C$10))</x:f>
        <x:v>0</x:v>
      </x:c>
      <x:c r="P10" s="66" t="n">
        <x:f>(((IF(('01_Inputs'!$C$19)&gt;1,1,0)+0*'01_Inputs'!$C$5))*(((IF(('01_Inputs'!$C$19)=1,0,('01_Inputs'!$C$5)*('01_Inputs'!$C$8)*('01_Inputs'!$C$12)*('01_Inputs'!$C$19)*(('01_Inputs'!$C$11)*('01_Inputs'!$C$17)+('01_Inputs'!$C$18)))))+((((('01_Inputs'!$C$5)*('01_Inputs'!$C$8)))*((('01_Inputs'!$C$12)*('01_Inputs'!$C$11)))*('01_Inputs'!$C$14)))+((0*'01_Inputs'!$C$5)))/(('01_Inputs'!$C$32)*('02_HW'!$C$7))*('02_HW'!$C$10))</x:f>
        <x:v>0.020267252537313433</x:v>
      </x:c>
      <x:c r="Q10" s="66" t="n">
        <x:f>(MAX((((IF(('01_Inputs'!$C$19)&gt;1,1,0)+0*'01_Inputs'!$C$5))*((0*'01_Inputs'!$C$5))/(('01_Inputs'!$C$31)*('02_HW'!$C$6))*('02_HW'!$C$10)),(((IF(('01_Inputs'!$C$19)&gt;1,1,0)+0*'01_Inputs'!$C$5))*(((IF(('01_Inputs'!$C$19)=1,0,('01_Inputs'!$C$5)*('01_Inputs'!$C$8)*('01_Inputs'!$C$12)*('01_Inputs'!$C$19)*(('01_Inputs'!$C$11)*('01_Inputs'!$C$17)+('01_Inputs'!$C$18)))))+((((('01_Inputs'!$C$5)*('01_Inputs'!$C$8)))*((('01_Inputs'!$C$12)*('01_Inputs'!$C$11)))*('01_Inputs'!$C$14)))+((0*'01_Inputs'!$C$5)))/(('01_Inputs'!$C$32)*('02_HW'!$C$7))*('02_HW'!$C$10)))+((IF(('01_Inputs'!$C$19)&gt;1,1,0)+0*'01_Inputs'!$C$5))*('02_HW'!$C$9)*('02_HW'!$C$10))</x:f>
        <x:v>0.020267252537313433</x:v>
      </x:c>
      <x:c r="R10" s="21" t="str">
        <x:f>IF(O10&gt;P10,"compute",IF(P10&gt;O10,"memory","balanced"))&amp;IF('01_Inputs'!$C$5&gt;0,"","")</x:f>
        <x:v>memory</x:v>
      </x:c>
      <x:c r="S10" s="24" t="str">
        <x:v>Optional split-local reduction.</x:v>
      </x:c>
    </x:row>
    <x:row r="11">
      <x:c r="A11" s="21" t="n">
        <x:f>ROW()-5+0*('01_Inputs'!$C$5)</x:f>
        <x:v>6</x:v>
      </x:c>
      <x:c r="B11" s="21" t="str">
        <x:v>decode</x:v>
      </x:c>
      <x:c r="C11" s="21" t="str">
        <x:v>attention</x:v>
      </x:c>
      <x:c r="D11" s="21" t="str">
        <x:v>output_projection</x:v>
      </x:c>
      <x:c r="E11" s="24" t="str">
        <x:v>2NDqD</x:v>
      </x:c>
      <x:c r="F11" s="66" t="n">
        <x:f>(1+0*'01_Inputs'!$C$5)</x:f>
        <x:v>1</x:v>
      </x:c>
      <x:c r="G11" s="69" t="n">
        <x:f>(2*((('01_Inputs'!$C$5)*('01_Inputs'!$C$8)))*((('01_Inputs'!$C$12)*('01_Inputs'!$C$11)))*('01_Inputs'!$C$10))</x:f>
        <x:v>4294967296</x:v>
      </x:c>
      <x:c r="H11" s="69" t="n">
        <x:f>(((('01_Inputs'!$C$5)*('01_Inputs'!$C$8)))*((('01_Inputs'!$C$12)*('01_Inputs'!$C$11)))*('01_Inputs'!$C$14)+((('01_Inputs'!$C$12)*('01_Inputs'!$C$11)))*('01_Inputs'!$C$10)*('01_Inputs'!$C$15))</x:f>
        <x:v>67371008</x:v>
      </x:c>
      <x:c r="I11" s="69" t="n">
        <x:f>(0*'01_Inputs'!$C$5)</x:f>
        <x:v>0</x:v>
      </x:c>
      <x:c r="J11" s="69" t="n">
        <x:f>(((('01_Inputs'!$C$5)*('01_Inputs'!$C$8)))*('01_Inputs'!$C$10)*('01_Inputs'!$C$14))</x:f>
        <x:v>262144</x:v>
      </x:c>
      <x:c r="K11" s="69" t="n">
        <x:f>((1+0*'01_Inputs'!$C$5))*((((('01_Inputs'!$C$5)*('01_Inputs'!$C$8)))*((('01_Inputs'!$C$12)*('01_Inputs'!$C$11)))*('01_Inputs'!$C$14)+((('01_Inputs'!$C$12)*('01_Inputs'!$C$11)))*('01_Inputs'!$C$10)*('01_Inputs'!$C$15)))+0*('01_Inputs'!$C$5)</x:f>
        <x:v>67371008</x:v>
      </x:c>
      <x:c r="L11" s="69" t="n">
        <x:f>((1+0*'01_Inputs'!$C$5))*(((0*'01_Inputs'!$C$5))+((((('01_Inputs'!$C$5)*('01_Inputs'!$C$8)))*('01_Inputs'!$C$10)*('01_Inputs'!$C$14))))+0*('01_Inputs'!$C$5)</x:f>
        <x:v>262144</x:v>
      </x:c>
      <x:c r="M11" s="69" t="n">
        <x:f>(0*'01_Inputs'!$C$5)</x:f>
        <x:v>0</x:v>
      </x:c>
      <x:c r="N11" s="66" t="n">
        <x:f>IF(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)=0,"",(((1+0*'01_Inputs'!$C$5))*((2*((('01_Inputs'!$C$5)*('01_Inputs'!$C$8)))*((('01_Inputs'!$C$12)*('01_Inputs'!$C$11)))*('01_Inputs'!$C$10))))/(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))+0*('01_Inputs'!$C$5))</x:f>
        <x:v>63.50387596899225</x:v>
      </x:c>
      <x:c r="O11" s="66" t="n">
        <x:f>(((1+0*'01_Inputs'!$C$5))*((2*((('01_Inputs'!$C$5)*('01_Inputs'!$C$8)))*((('01_Inputs'!$C$12)*('01_Inputs'!$C$11)))*('01_Inputs'!$C$10)))/(('01_Inputs'!$C$31)*('02_HW'!$C$6))*('02_HW'!$C$10))</x:f>
        <x:v>0.004340665825814171</x:v>
      </x:c>
      <x:c r="P11" s="66" t="n">
        <x:f>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</x:f>
        <x:v>0.020189000597014926</x:v>
      </x:c>
      <x:c r="Q11" s="66" t="n">
        <x:f>(MAX((((1+0*'01_Inputs'!$C$5))*((2*((('01_Inputs'!$C$5)*('01_Inputs'!$C$8)))*((('01_Inputs'!$C$12)*('01_Inputs'!$C$11)))*('01_Inputs'!$C$10)))/(('01_Inputs'!$C$31)*('02_HW'!$C$6))*('02_HW'!$C$10)),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R11" s="21" t="str">
        <x:f>IF(O11&gt;P11,"compute",IF(P11&gt;O11,"memory","balanced"))&amp;IF('01_Inputs'!$C$5&gt;0,"","")</x:f>
        <x:v>memory</x:v>
      </x:c>
      <x:c r="S11" s="24" t="str">
        <x:v>Projects attention output to model width.</x:v>
      </x:c>
    </x:row>
    <x:row r="12">
      <x:c r="A12" s="21" t="n">
        <x:f>ROW()-5+0*('01_Inputs'!$C$5)</x:f>
        <x:v>7</x:v>
      </x:c>
      <x:c r="B12" s="21" t="str">
        <x:v>decode</x:v>
      </x:c>
      <x:c r="C12" s="21" t="str">
        <x:v>moe</x:v>
      </x:c>
      <x:c r="D12" s="21" t="str">
        <x:v>moe_router</x:v>
      </x:c>
      <x:c r="E12" s="24" t="str">
        <x:v>2NDE + crouterNE</x:v>
      </x:c>
      <x:c r="F12" s="66" t="n">
        <x:f>(1+0*'01_Inputs'!$C$5)</x:f>
        <x:v>1</x:v>
      </x:c>
      <x:c r="G12" s="69" t="n">
        <x:f>(2*((('01_Inputs'!$C$5)*('01_Inputs'!$C$8)))*('01_Inputs'!$C$10)*('01_Inputs'!$C$23)+('01_Inputs'!$C$27)*((('01_Inputs'!$C$5)*('01_Inputs'!$C$8)))*('01_Inputs'!$C$23))</x:f>
        <x:v>67112960</x:v>
      </x:c>
      <x:c r="H12" s="69" t="n">
        <x:f>(((((('01_Inputs'!$C$5)*('01_Inputs'!$C$8)))*('01_Inputs'!$C$10)*('01_Inputs'!$C$14)))+('01_Inputs'!$C$10)*('01_Inputs'!$C$23)*('01_Inputs'!$C$15))</x:f>
        <x:v>1310720</x:v>
      </x:c>
      <x:c r="I12" s="69" t="n">
        <x:f>(0*'01_Inputs'!$C$5)</x:f>
        <x:v>0</x:v>
      </x:c>
      <x:c r="J12" s="69" t="n">
        <x:f>(((('01_Inputs'!$C$5)*('01_Inputs'!$C$8)))*('01_Inputs'!$C$24)*('01_Inputs'!$C$28))</x:f>
        <x:v>256</x:v>
      </x:c>
      <x:c r="K12" s="69" t="n">
        <x:f>((1+0*'01_Inputs'!$C$5))*((((((('01_Inputs'!$C$5)*('01_Inputs'!$C$8)))*('01_Inputs'!$C$10)*('01_Inputs'!$C$14)))+('01_Inputs'!$C$10)*('01_Inputs'!$C$23)*('01_Inputs'!$C$15)))+0*('01_Inputs'!$C$5)</x:f>
        <x:v>1310720</x:v>
      </x:c>
      <x:c r="L12" s="69" t="n">
        <x:f>((1+0*'01_Inputs'!$C$5))*(((0*'01_Inputs'!$C$5))+((((('01_Inputs'!$C$5)*('01_Inputs'!$C$8)))*('01_Inputs'!$C$24)*('01_Inputs'!$C$28))))+0*('01_Inputs'!$C$5)</x:f>
        <x:v>256</x:v>
      </x:c>
      <x:c r="M12" s="69" t="n">
        <x:f>(0*'01_Inputs'!$C$5)</x:f>
        <x:v>0</x:v>
      </x:c>
      <x:c r="N12" s="66" t="n">
        <x:f>IF(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)=0,"",(((1+0*'01_Inputs'!$C$5))*((2*((('01_Inputs'!$C$5)*('01_Inputs'!$C$8)))*('01_Inputs'!$C$10)*('01_Inputs'!$C$23)+('01_Inputs'!$C$27)*((('01_Inputs'!$C$5)*('01_Inputs'!$C$8)))*('01_Inputs'!$C$23))))/(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))+0*('01_Inputs'!$C$5))</x:f>
        <x:v>51.19312634251123</x:v>
      </x:c>
      <x:c r="O12" s="66" t="n">
        <x:f>(((1+0*'01_Inputs'!$C$5))*((2*((('01_Inputs'!$C$5)*('01_Inputs'!$C$8)))*('01_Inputs'!$C$10)*('01_Inputs'!$C$23)+('01_Inputs'!$C$27)*((('01_Inputs'!$C$5)*('01_Inputs'!$C$8)))*('01_Inputs'!$C$23)))/(('01_Inputs'!$C$31)*('02_HW'!$C$6))*('02_HW'!$C$10))</x:f>
        <x:v>0.00006782704310986061</x:v>
      </x:c>
      <x:c r="P12" s="66" t="n">
        <x:f>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</x:f>
        <x:v>0.0003913361194029851</x:v>
      </x:c>
      <x:c r="Q12" s="66" t="n">
        <x:f>(MAX((((1+0*'01_Inputs'!$C$5))*((2*((('01_Inputs'!$C$5)*('01_Inputs'!$C$8)))*('01_Inputs'!$C$10)*('01_Inputs'!$C$23)+('01_Inputs'!$C$27)*((('01_Inputs'!$C$5)*('01_Inputs'!$C$8)))*('01_Inputs'!$C$23)))/(('01_Inputs'!$C$31)*('02_HW'!$C$6))*('02_HW'!$C$10)),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)+((1+0*'01_Inputs'!$C$5))*('02_HW'!$C$9)*('02_HW'!$C$10))</x:f>
        <x:v>0.0003913361194029851</x:v>
      </x:c>
      <x:c r="R12" s="21" t="str">
        <x:f>IF(O12&gt;P12,"compute",IF(P12&gt;O12,"memory","balanced"))&amp;IF('01_Inputs'!$C$5&gt;0,"","")</x:f>
        <x:v>memory</x:v>
      </x:c>
      <x:c r="S12" s="24" t="str">
        <x:v>Router GEMM plus selection cost.</x:v>
      </x:c>
    </x:row>
    <x:row r="13">
      <x:c r="A13" s="21" t="n">
        <x:f>ROW()-5+0*('01_Inputs'!$C$5)</x:f>
        <x:v>8</x:v>
      </x:c>
      <x:c r="B13" s="21" t="str">
        <x:v>decode</x:v>
      </x:c>
      <x:c r="C13" s="21" t="str">
        <x:v>moe</x:v>
      </x:c>
      <x:c r="D13" s="21" t="str">
        <x:v>moe_dispatch</x:v>
      </x:c>
      <x:c r="E13" s="24" t="str">
        <x:v>materialize top-k routes</x:v>
      </x:c>
      <x:c r="F13" s="66" t="n">
        <x:f>(1+0*'01_Inputs'!$C$5)</x:f>
        <x:v>1</x:v>
      </x:c>
      <x:c r="G13" s="69" t="n">
        <x:f>(0*'01_Inputs'!$C$5)</x:f>
        <x:v>0</x:v>
      </x:c>
      <x:c r="H13" s="69" t="n">
        <x:f>(((((('01_Inputs'!$C$5)*('01_Inputs'!$C$8)))*('01_Inputs'!$C$10)*('01_Inputs'!$C$14)))+((((('01_Inputs'!$C$5)*('01_Inputs'!$C$8)))*('01_Inputs'!$C$24)*('01_Inputs'!$C$28))))</x:f>
        <x:v>262400</x:v>
      </x:c>
      <x:c r="I13" s="69" t="n">
        <x:f>(0*'01_Inputs'!$C$5)</x:f>
        <x:v>0</x:v>
      </x:c>
      <x:c r="J13" s="69" t="n">
        <x:f>(((('01_Inputs'!$C$5)*('01_Inputs'!$C$8)))*('01_Inputs'!$C$24)*('01_Inputs'!$C$10)*('01_Inputs'!$C$14))</x:f>
        <x:v>262144</x:v>
      </x:c>
      <x:c r="K13" s="69" t="n">
        <x:f>((1+0*'01_Inputs'!$C$5))*((((((('01_Inputs'!$C$5)*('01_Inputs'!$C$8)))*('01_Inputs'!$C$10)*('01_Inputs'!$C$14)))+((((('01_Inputs'!$C$5)*('01_Inputs'!$C$8)))*('01_Inputs'!$C$24)*('01_Inputs'!$C$28)))))+0*('01_Inputs'!$C$5)</x:f>
        <x:v>262400</x:v>
      </x:c>
      <x:c r="L13" s="69" t="n">
        <x:f>((1+0*'01_Inputs'!$C$5))*(((0*'01_Inputs'!$C$5))+((((('01_Inputs'!$C$5)*('01_Inputs'!$C$8)))*('01_Inputs'!$C$24)*('01_Inputs'!$C$10)*('01_Inputs'!$C$14))))+0*('01_Inputs'!$C$5)</x:f>
        <x:v>262144</x:v>
      </x:c>
      <x:c r="M13" s="69" t="n">
        <x:f>(0*'01_Inputs'!$C$5)</x:f>
        <x:v>0</x:v>
      </x:c>
      <x:c r="N13" s="66" t="n">
        <x:f>IF(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)=0,"",(((1+0*'01_Inputs'!$C$5))*((0*'01_Inputs'!$C$5)))/(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))+0*('01_Inputs'!$C$5))</x:f>
        <x:v>0</x:v>
      </x:c>
      <x:c r="O13" s="66" t="n">
        <x:f>(((1+0*'01_Inputs'!$C$5))*((0*'01_Inputs'!$C$5))/(('01_Inputs'!$C$31)*('02_HW'!$C$6))*('02_HW'!$C$10))</x:f>
        <x:v>0</x:v>
      </x:c>
      <x:c r="P13" s="66" t="n">
        <x:f>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</x:f>
        <x:v>0.0001565802985074627</x:v>
      </x:c>
      <x:c r="Q13" s="66" t="n">
        <x:f>(MAX((((1+0*'01_Inputs'!$C$5))*((0*'01_Inputs'!$C$5))/(('01_Inputs'!$C$31)*('02_HW'!$C$6))*('02_HW'!$C$10)),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)+((1+0*'01_Inputs'!$C$5))*('02_HW'!$C$9)*('02_HW'!$C$10))</x:f>
        <x:v>0.0001565802985074627</x:v>
      </x:c>
      <x:c r="R13" s="21" t="str">
        <x:f>IF(O13&gt;P13,"compute",IF(P13&gt;O13,"memory","balanced"))&amp;IF('01_Inputs'!$C$5&gt;0,"","")</x:f>
        <x:v>memory</x:v>
      </x:c>
      <x:c r="S13" s="24" t="str">
        <x:v>Dispatch traffic kept visible.</x:v>
      </x:c>
    </x:row>
    <x:row r="14">
      <x:c r="A14" s="21" t="n">
        <x:f>ROW()-5+0*('01_Inputs'!$C$5)</x:f>
        <x:v>9</x:v>
      </x:c>
      <x:c r="B14" s="21" t="str">
        <x:v>decode</x:v>
      </x:c>
      <x:c r="C14" s="21" t="str">
        <x:v>moe</x:v>
      </x:c>
      <x:c r="D14" s="21" t="str">
        <x:v>expert_up_projection</x:v>
      </x:c>
      <x:c r="E14" s="24" t="str">
        <x:v>2NrDF</x:v>
      </x:c>
      <x:c r="F14" s="66" t="n">
        <x:f>(1+0*'01_Inputs'!$C$5)</x:f>
        <x:v>1</x:v>
      </x:c>
      <x:c r="G14" s="69" t="n">
        <x:f>(2*((('01_Inputs'!$C$5)*('01_Inputs'!$C$8)))*('01_Inputs'!$C$24)*('01_Inputs'!$C$10)*('01_Inputs'!$C$25))</x:f>
        <x:v>8589934592</x:v>
      </x:c>
      <x:c r="H14" s="69" t="n">
        <x:f>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</x:f>
        <x:v>3813563872.4488354</x:v>
      </x:c>
      <x:c r="I14" s="69" t="n">
        <x:f>(0*'01_Inputs'!$C$5)</x:f>
        <x:v>0</x:v>
      </x:c>
      <x:c r="J14" s="69" t="n">
        <x:f>(IF(('01_Inputs'!$C$34)=1,0,((((('01_Inputs'!$C$5)*('01_Inputs'!$C$8)))*('01_Inputs'!$C$24)*('01_Inputs'!$C$25)*('01_Inputs'!$C$14)))))</x:f>
        <x:v>524288</x:v>
      </x:c>
      <x:c r="K14" s="69" t="n">
        <x:f>((1+0*'01_Inputs'!$C$5))*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+0*('01_Inputs'!$C$5)</x:f>
        <x:v>3813563872.4488354</x:v>
      </x:c>
      <x:c r="L14" s="69" t="n">
        <x:f>((1+0*'01_Inputs'!$C$5))*(((0*'01_Inputs'!$C$5))+((IF(('01_Inputs'!$C$34)=1,0,((((('01_Inputs'!$C$5)*('01_Inputs'!$C$8)))*('01_Inputs'!$C$24)*('01_Inputs'!$C$25)*('01_Inputs'!$C$14)))))))+0*('01_Inputs'!$C$5)</x:f>
        <x:v>524288</x:v>
      </x:c>
      <x:c r="M14" s="69" t="n">
        <x:f>(0*'01_Inputs'!$C$5)</x:f>
        <x:v>0</x:v>
      </x:c>
      <x:c r="N14" s="66" t="n">
        <x:f>IF(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)=0,"",(((1+0*'01_Inputs'!$C$5))*((2*((('01_Inputs'!$C$5)*('01_Inputs'!$C$8)))*('01_Inputs'!$C$24)*('01_Inputs'!$C$10)*('01_Inputs'!$C$25))))/(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))+0*('01_Inputs'!$C$5))</x:f>
        <x:v>2.252159423338854</x:v>
      </x:c>
      <x:c r="O14" s="66" t="n">
        <x:f>(((1+0*'01_Inputs'!$C$5))*((2*((('01_Inputs'!$C$5)*('01_Inputs'!$C$8)))*('01_Inputs'!$C$24)*('01_Inputs'!$C$10)*('01_Inputs'!$C$25)))/(('01_Inputs'!$C$31)*('02_HW'!$C$6))*('02_HW'!$C$10))</x:f>
        <x:v>0.008681331651628342</x:v>
      </x:c>
      <x:c r="P14" s="66" t="n">
        <x:f>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</x:f>
        <x:v>1.1385337792384582</x:v>
      </x:c>
      <x:c r="Q14" s="66" t="n">
        <x:f>(MAX((((1+0*'01_Inputs'!$C$5))*((2*((('01_Inputs'!$C$5)*('01_Inputs'!$C$8)))*('01_Inputs'!$C$24)*('01_Inputs'!$C$10)*('01_Inputs'!$C$25)))/(('01_Inputs'!$C$31)*('02_HW'!$C$6))*('02_HW'!$C$10)),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14" s="21" t="str">
        <x:f>IF(O14&gt;P14,"compute",IF(P14&gt;O14,"memory","balanced"))&amp;IF('01_Inputs'!$C$5&gt;0,"","")</x:f>
        <x:v>memory</x:v>
      </x:c>
      <x:c r="S14" s="24" t="str">
        <x:v>Expected active-expert weight read.</x:v>
      </x:c>
    </x:row>
    <x:row r="15">
      <x:c r="A15" s="21" t="n">
        <x:f>ROW()-5+0*('01_Inputs'!$C$5)</x:f>
        <x:v>10</x:v>
      </x:c>
      <x:c r="B15" s="21" t="str">
        <x:v>decode</x:v>
      </x:c>
      <x:c r="C15" s="21" t="str">
        <x:v>moe</x:v>
      </x:c>
      <x:c r="D15" s="21" t="str">
        <x:v>expert_gate_projection</x:v>
      </x:c>
      <x:c r="E15" s="24" t="str">
        <x:v>2NrDF</x:v>
      </x:c>
      <x:c r="F15" s="66" t="n">
        <x:f>(1+0*'01_Inputs'!$C$5)</x:f>
        <x:v>1</x:v>
      </x:c>
      <x:c r="G15" s="69" t="n">
        <x:f>(2*((('01_Inputs'!$C$5)*('01_Inputs'!$C$8)))*('01_Inputs'!$C$24)*('01_Inputs'!$C$10)*('01_Inputs'!$C$25))</x:f>
        <x:v>8589934592</x:v>
      </x:c>
      <x:c r="H15" s="69" t="n">
        <x:f>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</x:f>
        <x:v>3813563872.4488354</x:v>
      </x:c>
      <x:c r="I15" s="69" t="n">
        <x:f>(0*'01_Inputs'!$C$5)</x:f>
        <x:v>0</x:v>
      </x:c>
      <x:c r="J15" s="69" t="n">
        <x:f>(IF(('01_Inputs'!$C$34)=1,0,((((('01_Inputs'!$C$5)*('01_Inputs'!$C$8)))*('01_Inputs'!$C$24)*('01_Inputs'!$C$25)*('01_Inputs'!$C$14)))))</x:f>
        <x:v>524288</x:v>
      </x:c>
      <x:c r="K15" s="69" t="n">
        <x:f>((1+0*'01_Inputs'!$C$5))*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+0*('01_Inputs'!$C$5)</x:f>
        <x:v>3813563872.4488354</x:v>
      </x:c>
      <x:c r="L15" s="69" t="n">
        <x:f>((1+0*'01_Inputs'!$C$5))*(((0*'01_Inputs'!$C$5))+((IF(('01_Inputs'!$C$34)=1,0,((((('01_Inputs'!$C$5)*('01_Inputs'!$C$8)))*('01_Inputs'!$C$24)*('01_Inputs'!$C$25)*('01_Inputs'!$C$14)))))))+0*('01_Inputs'!$C$5)</x:f>
        <x:v>524288</x:v>
      </x:c>
      <x:c r="M15" s="69" t="n">
        <x:f>(0*'01_Inputs'!$C$5)</x:f>
        <x:v>0</x:v>
      </x:c>
      <x:c r="N15" s="66" t="n">
        <x:f>IF(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)=0,"",(((1+0*'01_Inputs'!$C$5))*((2*((('01_Inputs'!$C$5)*('01_Inputs'!$C$8)))*('01_Inputs'!$C$24)*('01_Inputs'!$C$10)*('01_Inputs'!$C$25))))/(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))+0*('01_Inputs'!$C$5))</x:f>
        <x:v>2.252159423338854</x:v>
      </x:c>
      <x:c r="O15" s="66" t="n">
        <x:f>(((1+0*'01_Inputs'!$C$5))*((2*((('01_Inputs'!$C$5)*('01_Inputs'!$C$8)))*('01_Inputs'!$C$24)*('01_Inputs'!$C$10)*('01_Inputs'!$C$25)))/(('01_Inputs'!$C$31)*('02_HW'!$C$6))*('02_HW'!$C$10))</x:f>
        <x:v>0.008681331651628342</x:v>
      </x:c>
      <x:c r="P15" s="66" t="n">
        <x:f>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</x:f>
        <x:v>1.1385337792384582</x:v>
      </x:c>
      <x:c r="Q15" s="66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15" s="21" t="str">
        <x:f>IF(O15&gt;P15,"compute",IF(P15&gt;O15,"memory","balanced"))&amp;IF('01_Inputs'!$C$5&gt;0,"","")</x:f>
        <x:v>memory</x:v>
      </x:c>
      <x:c r="S15" s="24" t="str">
        <x:v>SwiGLU gate matrix.</x:v>
      </x:c>
    </x:row>
    <x:row r="16">
      <x:c r="A16" s="21" t="n">
        <x:f>ROW()-5+0*('01_Inputs'!$C$5)</x:f>
        <x:v>11</x:v>
      </x:c>
      <x:c r="B16" s="21" t="str">
        <x:v>decode</x:v>
      </x:c>
      <x:c r="C16" s="21" t="str">
        <x:v>moe</x:v>
      </x:c>
      <x:c r="D16" s="21" t="str">
        <x:v>expert_swiglu_activation</x:v>
      </x:c>
      <x:c r="E16" s="24" t="str">
        <x:v>NrF cactivation</x:v>
      </x:c>
      <x:c r="F16" s="66" t="n">
        <x:f>(1+0*'01_Inputs'!$C$5)</x:f>
        <x:v>1</x:v>
      </x:c>
      <x:c r="G16" s="69" t="n">
        <x:f>(((('01_Inputs'!$C$5)*('01_Inputs'!$C$8)))*('01_Inputs'!$C$24)*('01_Inputs'!$C$25)*('01_Inputs'!$C$33))</x:f>
        <x:v>2097152</x:v>
      </x:c>
      <x:c r="H16" s="69" t="n">
        <x:f>(IF(('01_Inputs'!$C$34)=1,0,(2*((((('01_Inputs'!$C$5)*('01_Inputs'!$C$8)))*('01_Inputs'!$C$24)*('01_Inputs'!$C$25)*('01_Inputs'!$C$14))))))</x:f>
        <x:v>1048576</x:v>
      </x:c>
      <x:c r="I16" s="69" t="n">
        <x:f>(0*'01_Inputs'!$C$5)</x:f>
        <x:v>0</x:v>
      </x:c>
      <x:c r="J16" s="69" t="n">
        <x:f>(IF(('01_Inputs'!$C$34)=1,0,((((('01_Inputs'!$C$5)*('01_Inputs'!$C$8)))*('01_Inputs'!$C$24)*('01_Inputs'!$C$25)*('01_Inputs'!$C$14)))))</x:f>
        <x:v>524288</x:v>
      </x:c>
      <x:c r="K16" s="69" t="n">
        <x:f>((1+0*'01_Inputs'!$C$5))*((IF(('01_Inputs'!$C$34)=1,0,(2*((((('01_Inputs'!$C$5)*('01_Inputs'!$C$8)))*('01_Inputs'!$C$24)*('01_Inputs'!$C$25)*('01_Inputs'!$C$14)))))))+0*('01_Inputs'!$C$5)</x:f>
        <x:v>1048576</x:v>
      </x:c>
      <x:c r="L16" s="69" t="n">
        <x:f>((1+0*'01_Inputs'!$C$5))*(((0*'01_Inputs'!$C$5))+((IF(('01_Inputs'!$C$34)=1,0,((((('01_Inputs'!$C$5)*('01_Inputs'!$C$8)))*('01_Inputs'!$C$24)*('01_Inputs'!$C$25)*('01_Inputs'!$C$14)))))))+0*('01_Inputs'!$C$5)</x:f>
        <x:v>524288</x:v>
      </x:c>
      <x:c r="M16" s="69" t="n">
        <x:f>(0*'01_Inputs'!$C$5)</x:f>
        <x:v>0</x:v>
      </x:c>
      <x:c r="N16" s="66" t="n">
        <x:f>IF(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)=0,"",(((1+0*'01_Inputs'!$C$5))*((((('01_Inputs'!$C$5)*('01_Inputs'!$C$8)))*('01_Inputs'!$C$24)*('01_Inputs'!$C$25)*('01_Inputs'!$C$33))))/(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))+0*('01_Inputs'!$C$5))</x:f>
        <x:v>1.3333333333333333</x:v>
      </x:c>
      <x:c r="O16" s="66" t="n">
        <x:f>(((1+0*'01_Inputs'!$C$5))*((((('01_Inputs'!$C$5)*('01_Inputs'!$C$8)))*('01_Inputs'!$C$24)*('01_Inputs'!$C$25)*('01_Inputs'!$C$33)))/(('01_Inputs'!$C$31)*('02_HW'!$C$6))*('02_HW'!$C$10))</x:f>
        <x:v>0.0000021194657352608257</x:v>
      </x:c>
      <x:c r="P16" s="66" t="n">
        <x:f>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</x:f>
        <x:v>0.00046951164179104477</x:v>
      </x:c>
      <x:c r="Q16" s="66" t="n">
        <x:f>(MAX((((1+0*'01_Inputs'!$C$5))*((((('01_Inputs'!$C$5)*('01_Inputs'!$C$8)))*('01_Inputs'!$C$24)*('01_Inputs'!$C$25)*('01_Inputs'!$C$33)))/(('01_Inputs'!$C$31)*('02_HW'!$C$6))*('02_HW'!$C$10)),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0.00046951164179104477</x:v>
      </x:c>
      <x:c r="R16" s="21" t="str">
        <x:f>IF(O16&gt;P16,"compute",IF(P16&gt;O16,"memory","balanced"))&amp;IF('01_Inputs'!$C$5&gt;0,"","")</x:f>
        <x:v>memory</x:v>
      </x:c>
      <x:c r="S16" s="24" t="str">
        <x:v>Elementwise traffic vanishes only under fusion.</x:v>
      </x:c>
    </x:row>
    <x:row r="17">
      <x:c r="A17" s="21" t="n">
        <x:f>ROW()-5+0*('01_Inputs'!$C$5)</x:f>
        <x:v>12</x:v>
      </x:c>
      <x:c r="B17" s="21" t="str">
        <x:v>decode</x:v>
      </x:c>
      <x:c r="C17" s="21" t="str">
        <x:v>moe</x:v>
      </x:c>
      <x:c r="D17" s="21" t="str">
        <x:v>expert_down_projection</x:v>
      </x:c>
      <x:c r="E17" s="24" t="str">
        <x:v>2NrDF</x:v>
      </x:c>
      <x:c r="F17" s="66" t="n">
        <x:f>(1+0*'01_Inputs'!$C$5)</x:f>
        <x:v>1</x:v>
      </x:c>
      <x:c r="G17" s="69" t="n">
        <x:f>(2*((('01_Inputs'!$C$5)*('01_Inputs'!$C$8)))*('01_Inputs'!$C$24)*('01_Inputs'!$C$10)*('01_Inputs'!$C$25))</x:f>
        <x:v>8589934592</x:v>
      </x:c>
      <x:c r="H17" s="69" t="n">
        <x:f>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</x:f>
        <x:v>3813826016.4488354</x:v>
      </x:c>
      <x:c r="I17" s="69" t="n">
        <x:f>(0*'01_Inputs'!$C$5)</x:f>
        <x:v>0</x:v>
      </x:c>
      <x:c r="J17" s="69" t="n">
        <x:f>(((('01_Inputs'!$C$5)*('01_Inputs'!$C$8)))*('01_Inputs'!$C$24)*('01_Inputs'!$C$10)*('01_Inputs'!$C$14))</x:f>
        <x:v>262144</x:v>
      </x:c>
      <x:c r="K17" s="69" t="n">
        <x:f>((1+0*'01_Inputs'!$C$5))*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+0*('01_Inputs'!$C$5)</x:f>
        <x:v>3813826016.4488354</x:v>
      </x:c>
      <x:c r="L17" s="69" t="n">
        <x:f>((1+0*'01_Inputs'!$C$5))*(((0*'01_Inputs'!$C$5))+((((('01_Inputs'!$C$5)*('01_Inputs'!$C$8)))*('01_Inputs'!$C$24)*('01_Inputs'!$C$10)*('01_Inputs'!$C$14))))+0*('01_Inputs'!$C$5)</x:f>
        <x:v>262144</x:v>
      </x:c>
      <x:c r="M17" s="69" t="n">
        <x:f>(0*'01_Inputs'!$C$5)</x:f>
        <x:v>0</x:v>
      </x:c>
      <x:c r="N17" s="66" t="n">
        <x:f>IF(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)=0,"",(((1+0*'01_Inputs'!$C$5))*((2*((('01_Inputs'!$C$5)*('01_Inputs'!$C$8)))*('01_Inputs'!$C$24)*('01_Inputs'!$C$10)*('01_Inputs'!$C$25))))/(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))+0*('01_Inputs'!$C$5))</x:f>
        <x:v>2.252159423338854</x:v>
      </x:c>
      <x:c r="O17" s="66" t="n">
        <x:f>(((1+0*'01_Inputs'!$C$5))*((2*((('01_Inputs'!$C$5)*('01_Inputs'!$C$8)))*('01_Inputs'!$C$24)*('01_Inputs'!$C$10)*('01_Inputs'!$C$25)))/(('01_Inputs'!$C$31)*('02_HW'!$C$6))*('02_HW'!$C$10))</x:f>
        <x:v>0.008681331651628342</x:v>
      </x:c>
      <x:c r="P17" s="66" t="n">
        <x:f>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</x:f>
        <x:v>1.1385337792384582</x:v>
      </x:c>
      <x:c r="Q17" s="66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)+((1+0*'01_Inputs'!$C$5))*('02_HW'!$C$9)*('02_HW'!$C$10))</x:f>
        <x:v>1.1385337792384582</x:v>
      </x:c>
      <x:c r="R17" s="21" t="str">
        <x:f>IF(O17&gt;P17,"compute",IF(P17&gt;O17,"memory","balanced"))&amp;IF('01_Inputs'!$C$5&gt;0,"","")</x:f>
        <x:v>memory</x:v>
      </x:c>
      <x:c r="S17" s="24" t="str">
        <x:v>Down matrix plus routed output.</x:v>
      </x:c>
    </x:row>
    <x:row r="18">
      <x:c r="A18" s="22" t="n">
        <x:f>ROW()-5+0*('01_Inputs'!$C$5)</x:f>
        <x:v>13</x:v>
      </x:c>
      <x:c r="B18" s="22" t="str">
        <x:v>decode</x:v>
      </x:c>
      <x:c r="C18" s="22" t="str">
        <x:v>moe</x:v>
      </x:c>
      <x:c r="D18" s="22" t="str">
        <x:v>moe_combine</x:v>
      </x:c>
      <x:c r="E18" s="25" t="str">
        <x:v>combine top-k outputs</x:v>
      </x:c>
      <x:c r="F18" s="67" t="n">
        <x:f>(1+0*'01_Inputs'!$C$5)</x:f>
        <x:v>1</x:v>
      </x:c>
      <x:c r="G18" s="70" t="n">
        <x:f>(0*'01_Inputs'!$C$5)</x:f>
        <x:v>0</x:v>
      </x:c>
      <x:c r="H18" s="70" t="n">
        <x:f>(((('01_Inputs'!$C$5)*('01_Inputs'!$C$8)))*('01_Inputs'!$C$24)*('01_Inputs'!$C$10)*('01_Inputs'!$C$14))</x:f>
        <x:v>262144</x:v>
      </x:c>
      <x:c r="I18" s="70" t="n">
        <x:f>(((('01_Inputs'!$C$5)*('01_Inputs'!$C$8)))*('01_Inputs'!$C$10)*('01_Inputs'!$C$14))</x:f>
        <x:v>262144</x:v>
      </x:c>
      <x:c r="J18" s="70" t="n">
        <x:f>(0*'01_Inputs'!$C$5)</x:f>
        <x:v>0</x:v>
      </x:c>
      <x:c r="K18" s="70" t="n">
        <x:f>((1+0*'01_Inputs'!$C$5))*((((('01_Inputs'!$C$5)*('01_Inputs'!$C$8)))*('01_Inputs'!$C$24)*('01_Inputs'!$C$10)*('01_Inputs'!$C$14)))+0*('01_Inputs'!$C$5)</x:f>
        <x:v>262144</x:v>
      </x:c>
      <x:c r="L18" s="70" t="n">
        <x:f>((1+0*'01_Inputs'!$C$5))*(((((('01_Inputs'!$C$5)*('01_Inputs'!$C$8)))*('01_Inputs'!$C$10)*('01_Inputs'!$C$14)))+((0*'01_Inputs'!$C$5)))+0*('01_Inputs'!$C$5)</x:f>
        <x:v>262144</x:v>
      </x:c>
      <x:c r="M18" s="70" t="n">
        <x:f>(0*'01_Inputs'!$C$5)</x:f>
        <x:v>0</x:v>
      </x:c>
      <x:c r="N18" s="67" t="n">
        <x:f>IF((((1+0*'01_Inputs'!$C$5))*(((((('01_Inputs'!$C$5)*('01_Inputs'!$C$8)))*('01_Inputs'!$C$24)*('01_Inputs'!$C$10)*('01_Inputs'!$C$14)))+((((('01_Inputs'!$C$5)*('01_Inputs'!$C$8)))*('01_Inputs'!$C$10)*('01_Inputs'!$C$14)))+((0*'01_Inputs'!$C$5))))=0,"",(((1+0*'01_Inputs'!$C$5))*((0*'01_Inputs'!$C$5)))/((((1+0*'01_Inputs'!$C$5))*(((((('01_Inputs'!$C$5)*('01_Inputs'!$C$8)))*('01_Inputs'!$C$24)*('01_Inputs'!$C$10)*('01_Inputs'!$C$14)))+((((('01_Inputs'!$C$5)*('01_Inputs'!$C$8)))*('01_Inputs'!$C$10)*('01_Inputs'!$C$14)))+((0*'01_Inputs'!$C$5)))))+0*('01_Inputs'!$C$5))</x:f>
        <x:v>0</x:v>
      </x:c>
      <x:c r="O18" s="67" t="n">
        <x:f>(((1+0*'01_Inputs'!$C$5))*((0*'01_Inputs'!$C$5))/(('01_Inputs'!$C$31)*('02_HW'!$C$6))*('02_HW'!$C$10))</x:f>
        <x:v>0</x:v>
      </x:c>
      <x:c r="P18" s="67" t="n">
        <x:f>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</x:f>
        <x:v>0.0001565038805970149</x:v>
      </x:c>
      <x:c r="Q18" s="67" t="n">
        <x:f>(MAX((((1+0*'01_Inputs'!$C$5))*((0*'01_Inputs'!$C$5))/(('01_Inputs'!$C$31)*('02_HW'!$C$6))*('02_HW'!$C$10)),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)+((1+0*'01_Inputs'!$C$5))*('02_HW'!$C$9)*('02_HW'!$C$10))</x:f>
        <x:v>0.0001565038805970149</x:v>
      </x:c>
      <x:c r="R18" s="22" t="str">
        <x:f>IF(O18&gt;P18,"compute",IF(P18&gt;O18,"memory","balanced"))&amp;IF('01_Inputs'!$C$5&gt;0,"","")</x:f>
        <x:v>memory</x:v>
      </x:c>
      <x:c r="S18" s="25" t="str">
        <x:v>Mandatory block-output write.</x:v>
      </x:c>
    </x:row>
  </x:sheetData>
  <x:mergeCells>
    <x:mergeCell ref="A1:S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27" hidden="0" customWidth="1"/>
    <x:col min="5" max="5" width="3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  <x:col min="19" max="19" width="42" hidden="0" customWidth="1"/>
  </x:cols>
  <x:sheetData>
    <x:row r="1" ht="28" customHeight="1">
      <x:c r="A1" s="3" t="str">
        <x:v>20 · HOPE prefill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58" t="str">
        <x:v>Total FLOPs</x:v>
      </x:c>
      <x:c r="B2" s="59" t="str">
        <x:v>HBM read B</x:v>
      </x:c>
      <x:c r="C2" s="59" t="str">
        <x:v>HBM write B</x:v>
      </x:c>
      <x:c r="D2" s="59" t="str">
        <x:v>HBM total B</x:v>
      </x:c>
      <x:c r="E2" s="59" t="str">
        <x:v>Persistent state B</x:v>
      </x:c>
      <x:c r="F2" s="59" t="str">
        <x:v>AI FLOP/B</x:v>
      </x:c>
      <x:c r="G2" s="59" t="str">
        <x:v>Aggregate compute ms</x:v>
      </x:c>
      <x:c r="H2" s="59" t="str">
        <x:v>Aggregate HBM ms</x:v>
      </x:c>
      <x:c r="I2" s="59" t="str">
        <x:v>Aggregate latency ms</x:v>
      </x:c>
      <x:c r="J2" s="59" t="str">
        <x:v>Stagewise latency ms</x:v>
      </x:c>
      <x:c r="K2" s="59" t="str">
        <x:v>Bound</x:v>
      </x:c>
      <x:c r="L2" s="59" t="str">
        <x:v>HBM fit</x:v>
      </x:c>
      <x:c r="M2" s="59" t="str">
        <x:v>Ridge AI</x:v>
      </x:c>
      <x:c r="N2" s="60" t="str">
        <x:v>Ridge class</x:v>
      </x:c>
      <x:c r="O2" s="71"/>
      <x:c r="P2" s="71"/>
      <x:c r="Q2" s="71"/>
      <x:c r="R2" s="71"/>
      <x:c r="S2" s="71"/>
    </x:row>
    <x:row r="3">
      <x:c r="A3" s="63" t="n">
        <x:f>SUM(G6:G39)+0*('01_Inputs'!$C$5)</x:f>
        <x:v>422284943294464</x:v>
      </x:c>
      <x:c r="B3" s="63" t="n">
        <x:f>SUM(K6:K39)+0*('01_Inputs'!$C$5)</x:f>
        <x:v>169722642432</x:v>
      </x:c>
      <x:c r="C3" s="63" t="n">
        <x:f>SUM(L6:L39)+0*('01_Inputs'!$C$5)</x:f>
        <x:v>178783649792</x:v>
      </x:c>
      <x:c r="D3" s="63" t="n">
        <x:f>SUM(K6:L39)+0*('01_Inputs'!$C$5)</x:f>
        <x:v>348506292224</x:v>
      </x:c>
      <x:c r="E3" s="63" t="n">
        <x:f>SUM(M6:M39)+0*('01_Inputs'!$C$5)</x:f>
        <x:v>100934352896</x:v>
      </x:c>
      <x:c r="F3" s="64" t="n">
        <x:f>IF(SUM(K6:L39)=0,"",SUM(G6:G39)/SUM(K6:L39)+0*('01_Inputs'!$C$5))</x:f>
        <x:v>1211.6996241291486</x:v>
      </x:c>
      <x:c r="G3" s="64" t="n">
        <x:f>SUM(O6:O39)+0*('01_Inputs'!$C$5)</x:f>
        <x:v>426.77806273898</x:v>
      </x:c>
      <x:c r="H3" s="64" t="n">
        <x:f>SUM(P6:P39)+0*('01_Inputs'!$C$5)</x:f>
        <x:v>104.03172902208952</x:v>
      </x:c>
      <x:c r="I3" s="64" t="n">
        <x:f>MAX(SUM(O6:O39),SUM(P6:P39))+0*('01_Inputs'!$C$5)</x:f>
        <x:v>426.77806273898</x:v>
      </x:c>
      <x:c r="J3" s="64" t="n">
        <x:f>SUM(Q6:Q39)+0*('01_Inputs'!$C$5)</x:f>
        <x:v>451.376552017883</x:v>
      </x:c>
      <x:c r="K3" s="62" t="str">
        <x:f>IF(SUM(O6:O39)&gt;SUM(P6:P39),"compute",IF(SUM(P6:P39)&gt;SUM(O6:O39),"memory","balanced"))&amp;IF('01_Inputs'!$C$5&gt;0,"","")</x:f>
        <x:v>compute</x:v>
      </x:c>
      <x:c r="L3" s="62" t="str">
        <x:f>IF(SUM(M6:M39)&lt;='02_HW'!$C$8,"FIT","EXCEEDS")&amp;IF('01_Inputs'!$C$5&gt;0,"","")</x:f>
        <x:v>EXCEEDS</x:v>
      </x:c>
      <x:c r="M3" s="64" t="n">
        <x:f>'02_HW'!$C$6/'02_HW'!$C$7+0*('01_Inputs'!$C$5)</x:f>
        <x:v>295.36477611940296</x:v>
      </x:c>
      <x:c r="N3" s="62" t="str">
        <x:f>IF(F3&gt;=M3,"compute-side","memory-side")&amp;IF('01_Inputs'!$C$5&gt;0,"","")</x:f>
        <x:v>compute-side</x:v>
      </x:c>
      <x:c r="O3" s="72"/>
      <x:c r="P3" s="72"/>
      <x:c r="Q3" s="72"/>
      <x:c r="R3" s="72"/>
      <x:c r="S3" s="72"/>
    </x:row>
    <x:row r="5" ht="34" customHeight="1">
      <x:c r="A5" s="14" t="str">
        <x:v>Order</x:v>
      </x:c>
      <x:c r="B5" s="28" t="str">
        <x:v>Phase</x:v>
      </x:c>
      <x:c r="C5" s="28" t="str">
        <x:v>Component</x:v>
      </x:c>
      <x:c r="D5" s="28" t="str">
        <x:v>Stage</x:v>
      </x:c>
      <x:c r="E5" s="28" t="str">
        <x:v>Symbolic equation</x:v>
      </x:c>
      <x:c r="F5" s="28" t="str">
        <x:v>Executions/cadence</x:v>
      </x:c>
      <x:c r="G5" s="28" t="str">
        <x:v>FLOPs</x:v>
      </x:c>
      <x:c r="H5" s="28" t="str">
        <x:v>Required read B</x:v>
      </x:c>
      <x:c r="I5" s="28" t="str">
        <x:v>Mandatory write B</x:v>
      </x:c>
      <x:c r="J5" s="28" t="str">
        <x:v>Temporary/fusible write B</x:v>
      </x:c>
      <x:c r="K5" s="28" t="str">
        <x:v>Effective read B</x:v>
      </x:c>
      <x:c r="L5" s="28" t="str">
        <x:v>Effective write B</x:v>
      </x:c>
      <x:c r="M5" s="28" t="str">
        <x:v>Persistent state B</x:v>
      </x:c>
      <x:c r="N5" s="28" t="str">
        <x:v>AI</x:v>
      </x:c>
      <x:c r="O5" s="28" t="str">
        <x:v>Compute ms</x:v>
      </x:c>
      <x:c r="P5" s="28" t="str">
        <x:v>HBM ms</x:v>
      </x:c>
      <x:c r="Q5" s="28" t="str">
        <x:v>Roofline ms</x:v>
      </x:c>
      <x:c r="R5" s="28" t="str">
        <x:v>Bound</x:v>
      </x:c>
      <x:c r="S5" s="15" t="str">
        <x:v>Evidence/assumption</x:v>
      </x:c>
    </x:row>
    <x:row r="6">
      <x:c r="A6" s="20" t="n">
        <x:f>ROW()-5+0*('01_Inputs'!$C$5)</x:f>
        <x:v>1</x:v>
      </x:c>
      <x:c r="B6" s="20" t="str">
        <x:v>prefill</x:v>
      </x:c>
      <x:c r="C6" s="20" t="str">
        <x:v>titans</x:v>
      </x:c>
      <x:c r="D6" s="20" t="str">
        <x:v>static_q_projection</x:v>
      </x:c>
      <x:c r="E6" s="23" t="str">
        <x:v>2ND²</x:v>
      </x:c>
      <x:c r="F6" s="65" t="n">
        <x:f>(1+0*'01_Inputs'!$C$5)</x:f>
        <x:v>1</x:v>
      </x:c>
      <x:c r="G6" s="68" t="n">
        <x:f>(2*((('01_Inputs'!$C$5)*('01_Inputs'!$C$6)))*('01_Inputs'!$C$10)*('01_Inputs'!$C$10))</x:f>
        <x:v>8796093022208</x:v>
      </x:c>
      <x:c r="H6" s="68" t="n">
        <x:f>(((((('01_Inputs'!$C$5)*('01_Inputs'!$C$6)))*('01_Inputs'!$C$10)*('01_Inputs'!$C$14)))+('01_Inputs'!$C$10)*('01_Inputs'!$C$10)*('01_Inputs'!$C$15))</x:f>
        <x:v>603979776</x:v>
      </x:c>
      <x:c r="I6" s="68" t="n">
        <x:f>(0*'01_Inputs'!$C$5)</x:f>
        <x:v>0</x:v>
      </x:c>
      <x:c r="J6" s="68" t="n">
        <x:f>(((('01_Inputs'!$C$5)*('01_Inputs'!$C$6)))*('01_Inputs'!$C$10)*('01_Inputs'!$C$14))</x:f>
        <x:v>536870912</x:v>
      </x:c>
      <x:c r="K6" s="68" t="n">
        <x:f>((1+0*'01_Inputs'!$C$5))*((((((('01_Inputs'!$C$5)*('01_Inputs'!$C$6)))*('01_Inputs'!$C$10)*('01_Inputs'!$C$14)))+('01_Inputs'!$C$10)*('01_Inputs'!$C$10)*('01_Inputs'!$C$15)))+0*('01_Inputs'!$C$5)</x:f>
        <x:v>603979776</x:v>
      </x:c>
      <x:c r="L6" s="68" t="n">
        <x:f>((1+0*'01_Inputs'!$C$5))*(((0*'01_Inputs'!$C$5))+((((('01_Inputs'!$C$5)*('01_Inputs'!$C$6)))*('01_Inputs'!$C$10)*('01_Inputs'!$C$14))))+0*('01_Inputs'!$C$5)</x:f>
        <x:v>536870912</x:v>
      </x:c>
      <x:c r="M6" s="68" t="n">
        <x:f>(('01_Inputs'!$C$5)*('01_Inputs'!$C$39))</x:f>
        <x:v>0</x:v>
      </x:c>
      <x:c r="N6" s="65" t="n">
        <x:f>IF((((1+0*'01_Inputs'!$C$5))*(((((((('01_Inputs'!$C$5)*('01_Inputs'!$C$6)))*('01_Inputs'!$C$10)*('01_Inputs'!$C$14)))+('01_Inputs'!$C$10)*('01_Inputs'!$C$10)*('01_Inputs'!$C$15)))+((0*'01_Inputs'!$C$5))+((((('01_Inputs'!$C$5)*('01_Inputs'!$C$6)))*('01_Inputs'!$C$10)*('01_Inputs'!$C$14)))))=0,"",(((1+0*'01_Inputs'!$C$5))*((2*((('01_Inputs'!$C$5)*('01_Inputs'!$C$6)))*('01_Inputs'!$C$10)*('01_Inputs'!$C$10))))/((((1+0*'01_Inputs'!$C$5))*(((((((('01_Inputs'!$C$5)*('01_Inputs'!$C$6)))*('01_Inputs'!$C$10)*('01_Inputs'!$C$14)))+('01_Inputs'!$C$10)*('01_Inputs'!$C$10)*('01_Inputs'!$C$15)))+((0*'01_Inputs'!$C$5))+((((('01_Inputs'!$C$5)*('01_Inputs'!$C$6)))*('01_Inputs'!$C$10)*('01_Inputs'!$C$14))))))+0*('01_Inputs'!$C$5))</x:f>
        <x:v>7710.117647058823</x:v>
      </x:c>
      <x:c r="O6" s="65" t="n">
        <x:f>(((1+0*'01_Inputs'!$C$5))*((2*((('01_Inputs'!$C$5)*('01_Inputs'!$C$6)))*('01_Inputs'!$C$10)*('01_Inputs'!$C$10)))/(('01_Inputs'!$C$31)*('02_HW'!$C$6))*('02_HW'!$C$10))</x:f>
        <x:v>8.889683611267422</x:v>
      </x:c>
      <x:c r="P6" s="65" t="n">
        <x:f>(((1+0*'01_Inputs'!$C$5))*(((((((('01_Inputs'!$C$5)*('01_Inputs'!$C$6)))*('01_Inputs'!$C$10)*('01_Inputs'!$C$14)))+('01_Inputs'!$C$10)*('01_Inputs'!$C$10)*('01_Inputs'!$C$15)))+((0*'01_Inputs'!$C$5))+((((('01_Inputs'!$C$5)*('01_Inputs'!$C$6)))*('01_Inputs'!$C$10)*('01_Inputs'!$C$14))))/(('01_Inputs'!$C$32)*('02_HW'!$C$7))*('02_HW'!$C$10))</x:f>
        <x:v>0.34055244417910446</x:v>
      </x:c>
      <x:c r="Q6" s="65" t="n">
        <x:f>(MAX((((1+0*'01_Inputs'!$C$5))*((2*((('01_Inputs'!$C$5)*('01_Inputs'!$C$6)))*('01_Inputs'!$C$10)*('01_Inputs'!$C$10)))/(('01_Inputs'!$C$31)*('02_HW'!$C$6))*('02_HW'!$C$10)),(((1+0*'01_Inputs'!$C$5))*(((((((('01_Inputs'!$C$5)*('01_Inputs'!$C$6)))*('01_Inputs'!$C$10)*('01_Inputs'!$C$14)))+('01_Inputs'!$C$10)*('01_Inputs'!$C$10)*('01_Inputs'!$C$15)))+((0*'01_Inputs'!$C$5))+((((('01_Inputs'!$C$5)*('01_Inputs'!$C$6)))*('01_Inputs'!$C$10)*('01_Inputs'!$C$14))))/(('01_Inputs'!$C$32)*('02_HW'!$C$7))*('02_HW'!$C$10)))+((1+0*'01_Inputs'!$C$5))*('02_HW'!$C$9)*('02_HW'!$C$10))</x:f>
        <x:v>8.889683611267422</x:v>
      </x:c>
      <x:c r="R6" s="20" t="str">
        <x:f>IF(O6&gt;P6,"compute",IF(P6&gt;O6,"memory","balanced"))&amp;IF('01_Inputs'!$C$5&gt;0,"","")</x:f>
        <x:v>compute</x:v>
      </x:c>
      <x:c r="S6" s="23" t="str">
        <x:v>Static q=xWq; Wq is not mutable state.</x:v>
      </x:c>
    </x:row>
    <x:row r="7">
      <x:c r="A7" s="21" t="n">
        <x:f>ROW()-5+0*('01_Inputs'!$C$5)</x:f>
        <x:v>2</x:v>
      </x:c>
      <x:c r="B7" s="21" t="str">
        <x:v>prefill</x:v>
      </x:c>
      <x:c r="C7" s="21" t="str">
        <x:v>titans</x:v>
      </x:c>
      <x:c r="D7" s="21" t="str">
        <x:v>M_k_forward</x:v>
      </x:c>
      <x:c r="E7" s="24" t="str">
        <x:v>2NP + nonlinear terms</x:v>
      </x:c>
      <x:c r="F7" s="66" t="n">
        <x:f>(1+0*'01_Inputs'!$C$5)</x:f>
        <x:v>1</x:v>
      </x:c>
      <x:c r="G7" s="69" t="n">
        <x:f>(2*((('01_Inputs'!$C$5)*('01_Inputs'!$C$6)))*((('01_Inputs'!$B$48)*('01_Inputs'!$C$48)+('01_Inputs'!$C$48)*('01_Inputs'!$D$48)))+((('01_Inputs'!$C$5)*('01_Inputs'!$C$6)))*(('01_Inputs'!$C$37)*('01_Inputs'!$C$48)+('01_Inputs'!$C$38)*('01_Inputs'!$D$48)))</x:f>
        <x:v>17594870398976</x:v>
      </x:c>
      <x:c r="H7" s="69" t="n">
        <x:f>(((((('01_Inputs'!$C$5)*('01_Inputs'!$C$6)))*('01_Inputs'!$B$48)*('01_Inputs'!$C$14)))+('01_Inputs'!$C$5)*((('01_Inputs'!$B$48)*('01_Inputs'!$C$48)+('01_Inputs'!$C$48)*('01_Inputs'!$D$48)))*('01_Inputs'!$C$35)*('01_Inputs'!$H$48))</x:f>
        <x:v>4831838208</x:v>
      </x:c>
      <x:c r="I7" s="69" t="n">
        <x:f>(0*'01_Inputs'!$C$5)</x:f>
        <x:v>0</x:v>
      </x:c>
      <x:c r="J7" s="69" t="n">
        <x:f>(((('01_Inputs'!$C$5)*('01_Inputs'!$C$6)))*('01_Inputs'!$D$48)*('01_Inputs'!$C$14))</x:f>
        <x:v>536870912</x:v>
      </x:c>
      <x:c r="K7" s="69" t="n">
        <x:f>((1+0*'01_Inputs'!$C$5))*((((((('01_Inputs'!$C$5)*('01_Inputs'!$C$6)))*('01_Inputs'!$B$48)*('01_Inputs'!$C$14)))+('01_Inputs'!$C$5)*((('01_Inputs'!$B$48)*('01_Inputs'!$C$48)+('01_Inputs'!$C$48)*('01_Inputs'!$D$48)))*('01_Inputs'!$C$35)*('01_Inputs'!$H$48)))+0*('01_Inputs'!$C$5)</x:f>
        <x:v>4831838208</x:v>
      </x:c>
      <x:c r="L7" s="69" t="n">
        <x:f>((1+0*'01_Inputs'!$C$5))*(((0*'01_Inputs'!$C$5))+((((('01_Inputs'!$C$5)*('01_Inputs'!$C$6)))*('01_Inputs'!$D$48)*('01_Inputs'!$C$14))))+0*('01_Inputs'!$C$5)</x:f>
        <x:v>536870912</x:v>
      </x:c>
      <x:c r="M7" s="69" t="n">
        <x:f>(('01_Inputs'!$C$5)*((('01_Inputs'!$B$48)*('01_Inputs'!$C$48)+('01_Inputs'!$C$48)*('01_Inputs'!$D$48)))*(('01_Inputs'!$C$35)+('01_Inputs'!$F$48)*('01_Inputs'!$C$36)))</x:f>
        <x:v>21474836480</x:v>
      </x:c>
      <x:c r="N7" s="66" t="n">
        <x:f>IF(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)=0,"",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)/(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))+0*('01_Inputs'!$C$5))</x:f>
        <x:v>3277.3</x:v>
      </x:c>
      <x:c r="O7" s="66" t="n">
        <x:f>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/(('01_Inputs'!$C$31)*('02_HW'!$C$6))*('02_HW'!$C$10))</x:f>
        <x:v>17.78208013867598</x:v>
      </x:c>
      <x:c r="P7" s="66" t="n">
        <x:f>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/(('01_Inputs'!$C$32)*('02_HW'!$C$7))*('02_HW'!$C$10))</x:f>
        <x:v>1.6025997373134329</x:v>
      </x:c>
      <x:c r="Q7" s="66" t="n">
        <x:f>(MAX(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/(('01_Inputs'!$C$31)*('02_HW'!$C$6))*('02_HW'!$C$10)),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/(('01_Inputs'!$C$32)*('02_HW'!$C$7))*('02_HW'!$C$10)))+((1+0*'01_Inputs'!$C$5))*('02_HW'!$C$9)*('02_HW'!$C$10))</x:f>
        <x:v>17.78208013867598</x:v>
      </x:c>
      <x:c r="R7" s="21" t="str">
        <x:f>IF(O7&gt;P7,"compute",IF(P7&gt;O7,"memory","balanced"))&amp;IF('01_Inputs'!$C$5&gt;0,"","")</x:f>
        <x:v>compute</x:v>
      </x:c>
      <x:c r="S7" s="24" t="str">
        <x:v>Request-local mutable memory forward.</x:v>
      </x:c>
    </x:row>
    <x:row r="8">
      <x:c r="A8" s="21" t="n">
        <x:f>ROW()-5+0*('01_Inputs'!$C$5)</x:f>
        <x:v>3</x:v>
      </x:c>
      <x:c r="B8" s="21" t="str">
        <x:v>prefill</x:v>
      </x:c>
      <x:c r="C8" s="21" t="str">
        <x:v>titans</x:v>
      </x:c>
      <x:c r="D8" s="21" t="str">
        <x:v>M_v_forward</x:v>
      </x:c>
      <x:c r="E8" s="24" t="str">
        <x:v>2NP + nonlinear terms</x:v>
      </x:c>
      <x:c r="F8" s="66" t="n">
        <x:f>(1+0*'01_Inputs'!$C$5)</x:f>
        <x:v>1</x:v>
      </x:c>
      <x:c r="G8" s="69" t="n">
        <x:f>(2*((('01_Inputs'!$C$5)*('01_Inputs'!$C$6)))*((('01_Inputs'!$B$49)*('01_Inputs'!$C$49)+('01_Inputs'!$C$49)*('01_Inputs'!$D$49)))+((('01_Inputs'!$C$5)*('01_Inputs'!$C$6)))*(('01_Inputs'!$C$37)*('01_Inputs'!$C$49)+('01_Inputs'!$C$38)*('01_Inputs'!$D$49)))</x:f>
        <x:v>17594870398976</x:v>
      </x:c>
      <x:c r="H8" s="69" t="n">
        <x:f>(((((('01_Inputs'!$C$5)*('01_Inputs'!$C$6)))*('01_Inputs'!$B$49)*('01_Inputs'!$C$14)))+('01_Inputs'!$C$5)*((('01_Inputs'!$B$49)*('01_Inputs'!$C$49)+('01_Inputs'!$C$49)*('01_Inputs'!$D$49)))*('01_Inputs'!$C$35)*('01_Inputs'!$H$49))</x:f>
        <x:v>4831838208</x:v>
      </x:c>
      <x:c r="I8" s="69" t="n">
        <x:f>(0*'01_Inputs'!$C$5)</x:f>
        <x:v>0</x:v>
      </x:c>
      <x:c r="J8" s="69" t="n">
        <x:f>(((('01_Inputs'!$C$5)*('01_Inputs'!$C$6)))*('01_Inputs'!$D$49)*('01_Inputs'!$C$14))</x:f>
        <x:v>536870912</x:v>
      </x:c>
      <x:c r="K8" s="69" t="n">
        <x:f>((1+0*'01_Inputs'!$C$5))*((((((('01_Inputs'!$C$5)*('01_Inputs'!$C$6)))*('01_Inputs'!$B$49)*('01_Inputs'!$C$14)))+('01_Inputs'!$C$5)*((('01_Inputs'!$B$49)*('01_Inputs'!$C$49)+('01_Inputs'!$C$49)*('01_Inputs'!$D$49)))*('01_Inputs'!$C$35)*('01_Inputs'!$H$49)))+0*('01_Inputs'!$C$5)</x:f>
        <x:v>4831838208</x:v>
      </x:c>
      <x:c r="L8" s="69" t="n">
        <x:f>((1+0*'01_Inputs'!$C$5))*(((0*'01_Inputs'!$C$5))+((((('01_Inputs'!$C$5)*('01_Inputs'!$C$6)))*('01_Inputs'!$D$49)*('01_Inputs'!$C$14))))+0*('01_Inputs'!$C$5)</x:f>
        <x:v>536870912</x:v>
      </x:c>
      <x:c r="M8" s="69" t="n">
        <x:f>(('01_Inputs'!$C$5)*((('01_Inputs'!$B$49)*('01_Inputs'!$C$49)+('01_Inputs'!$C$49)*('01_Inputs'!$D$49)))*(('01_Inputs'!$C$35)+('01_Inputs'!$F$49)*('01_Inputs'!$C$36)))</x:f>
        <x:v>21474836480</x:v>
      </x:c>
      <x:c r="N8" s="66" t="n">
        <x:f>IF(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)=0,"",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)/(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))+0*('01_Inputs'!$C$5))</x:f>
        <x:v>3277.3</x:v>
      </x:c>
      <x:c r="O8" s="66" t="n">
        <x:f>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/(('01_Inputs'!$C$31)*('02_HW'!$C$6))*('02_HW'!$C$10))</x:f>
        <x:v>17.78208013867598</x:v>
      </x:c>
      <x:c r="P8" s="66" t="n">
        <x:f>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/(('01_Inputs'!$C$32)*('02_HW'!$C$7))*('02_HW'!$C$10))</x:f>
        <x:v>1.6025997373134329</x:v>
      </x:c>
      <x:c r="Q8" s="66" t="n">
        <x:f>(MAX(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/(('01_Inputs'!$C$31)*('02_HW'!$C$6))*('02_HW'!$C$10)),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/(('01_Inputs'!$C$32)*('02_HW'!$C$7))*('02_HW'!$C$10)))+((1+0*'01_Inputs'!$C$5))*('02_HW'!$C$9)*('02_HW'!$C$10))</x:f>
        <x:v>17.78208013867598</x:v>
      </x:c>
      <x:c r="R8" s="21" t="str">
        <x:f>IF(O8&gt;P8,"compute",IF(P8&gt;O8,"memory","balanced"))&amp;IF('01_Inputs'!$C$5&gt;0,"","")</x:f>
        <x:v>compute</x:v>
      </x:c>
      <x:c r="S8" s="24" t="str">
        <x:v>Request-local mutable memory forward.</x:v>
      </x:c>
    </x:row>
    <x:row r="9">
      <x:c r="A9" s="21" t="n">
        <x:f>ROW()-5+0*('01_Inputs'!$C$5)</x:f>
        <x:v>4</x:v>
      </x:c>
      <x:c r="B9" s="21" t="str">
        <x:v>prefill</x:v>
      </x:c>
      <x:c r="C9" s="21" t="str">
        <x:v>titans</x:v>
      </x:c>
      <x:c r="D9" s="21" t="str">
        <x:v>M_eta_forward</x:v>
      </x:c>
      <x:c r="E9" s="24" t="str">
        <x:v>2NP + nonlinear terms</x:v>
      </x:c>
      <x:c r="F9" s="66" t="n">
        <x:f>(1+0*'01_Inputs'!$C$5)</x:f>
        <x:v>1</x:v>
      </x:c>
      <x:c r="G9" s="69" t="n">
        <x:f>(2*((('01_Inputs'!$C$5)*('01_Inputs'!$C$6)))*((('01_Inputs'!$B$50)*('01_Inputs'!$C$50)+('01_Inputs'!$C$50)*('01_Inputs'!$D$50)))+((('01_Inputs'!$C$5)*('01_Inputs'!$C$6)))*(('01_Inputs'!$C$37)*('01_Inputs'!$C$50)+('01_Inputs'!$C$38)*('01_Inputs'!$D$50)))</x:f>
        <x:v>8799314313216</x:v>
      </x:c>
      <x:c r="H9" s="69" t="n">
        <x:f>(((((('01_Inputs'!$C$5)*('01_Inputs'!$C$6)))*('01_Inputs'!$B$50)*('01_Inputs'!$C$14)))+('01_Inputs'!$C$5)*((('01_Inputs'!$B$50)*('01_Inputs'!$C$50)+('01_Inputs'!$C$50)*('01_Inputs'!$D$50)))*('01_Inputs'!$C$35)*('01_Inputs'!$H$50))</x:f>
        <x:v>2684616704</x:v>
      </x:c>
      <x:c r="I9" s="69" t="n">
        <x:f>(0*'01_Inputs'!$C$5)</x:f>
        <x:v>0</x:v>
      </x:c>
      <x:c r="J9" s="69" t="n">
        <x:f>(((('01_Inputs'!$C$5)*('01_Inputs'!$C$6)))*('01_Inputs'!$D$50)*('01_Inputs'!$C$14))</x:f>
        <x:v>65536</x:v>
      </x:c>
      <x:c r="K9" s="69" t="n">
        <x:f>((1+0*'01_Inputs'!$C$5))*((((((('01_Inputs'!$C$5)*('01_Inputs'!$C$6)))*('01_Inputs'!$B$50)*('01_Inputs'!$C$14)))+('01_Inputs'!$C$5)*((('01_Inputs'!$B$50)*('01_Inputs'!$C$50)+('01_Inputs'!$C$50)*('01_Inputs'!$D$50)))*('01_Inputs'!$C$35)*('01_Inputs'!$H$50)))+0*('01_Inputs'!$C$5)</x:f>
        <x:v>2684616704</x:v>
      </x:c>
      <x:c r="L9" s="69" t="n">
        <x:f>((1+0*'01_Inputs'!$C$5))*(((0*'01_Inputs'!$C$5))+((((('01_Inputs'!$C$5)*('01_Inputs'!$C$6)))*('01_Inputs'!$D$50)*('01_Inputs'!$C$14))))+0*('01_Inputs'!$C$5)</x:f>
        <x:v>65536</x:v>
      </x:c>
      <x:c r="M9" s="69" t="n">
        <x:f>(('01_Inputs'!$C$5)*((('01_Inputs'!$B$50)*('01_Inputs'!$C$50)+('01_Inputs'!$C$50)*('01_Inputs'!$D$50)))*(('01_Inputs'!$C$35)+('01_Inputs'!$F$50)*('01_Inputs'!$C$36)))</x:f>
        <x:v>10738728960</x:v>
      </x:c>
      <x:c r="N9" s="66" t="n">
        <x:f>IF(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)=0,"",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)/(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))+0*('01_Inputs'!$C$5))</x:f>
        <x:v>3277.599926766752</x:v>
      </x:c>
      <x:c r="O9" s="66" t="n">
        <x:f>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/(('01_Inputs'!$C$31)*('02_HW'!$C$6))*('02_HW'!$C$10))</x:f>
        <x:v>8.892939176870089</x:v>
      </x:c>
      <x:c r="P9" s="66" t="n">
        <x:f>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/(('01_Inputs'!$C$32)*('02_HW'!$C$7))*('02_HW'!$C$10))</x:f>
        <x:v>0.8013976835820895</x:v>
      </x:c>
      <x:c r="Q9" s="66" t="n">
        <x:f>(MAX(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/(('01_Inputs'!$C$31)*('02_HW'!$C$6))*('02_HW'!$C$10)),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/(('01_Inputs'!$C$32)*('02_HW'!$C$7))*('02_HW'!$C$10)))+((1+0*'01_Inputs'!$C$5))*('02_HW'!$C$9)*('02_HW'!$C$10))</x:f>
        <x:v>8.892939176870089</x:v>
      </x:c>
      <x:c r="R9" s="21" t="str">
        <x:f>IF(O9&gt;P9,"compute",IF(P9&gt;O9,"memory","balanced"))&amp;IF('01_Inputs'!$C$5&gt;0,"","")</x:f>
        <x:v>compute</x:v>
      </x:c>
      <x:c r="S9" s="24" t="str">
        <x:v>Request-local mutable memory forward.</x:v>
      </x:c>
    </x:row>
    <x:row r="10">
      <x:c r="A10" s="21" t="n">
        <x:f>ROW()-5+0*('01_Inputs'!$C$5)</x:f>
        <x:v>5</x:v>
      </x:c>
      <x:c r="B10" s="21" t="str">
        <x:v>prefill</x:v>
      </x:c>
      <x:c r="C10" s="21" t="str">
        <x:v>titans</x:v>
      </x:c>
      <x:c r="D10" s="21" t="str">
        <x:v>M_alpha_forward</x:v>
      </x:c>
      <x:c r="E10" s="24" t="str">
        <x:v>2NP + nonlinear terms</x:v>
      </x:c>
      <x:c r="F10" s="66" t="n">
        <x:f>(1+0*'01_Inputs'!$C$5)</x:f>
        <x:v>1</x:v>
      </x:c>
      <x:c r="G10" s="69" t="n">
        <x:f>(2*((('01_Inputs'!$C$5)*('01_Inputs'!$C$6)))*((('01_Inputs'!$B$51)*('01_Inputs'!$C$51)+('01_Inputs'!$C$51)*('01_Inputs'!$D$51)))+((('01_Inputs'!$C$5)*('01_Inputs'!$C$6)))*(('01_Inputs'!$C$37)*('01_Inputs'!$C$51)+('01_Inputs'!$C$38)*('01_Inputs'!$D$51)))</x:f>
        <x:v>8799314313216</x:v>
      </x:c>
      <x:c r="H10" s="69" t="n">
        <x:f>(((((('01_Inputs'!$C$5)*('01_Inputs'!$C$6)))*('01_Inputs'!$B$51)*('01_Inputs'!$C$14)))+('01_Inputs'!$C$5)*((('01_Inputs'!$B$51)*('01_Inputs'!$C$51)+('01_Inputs'!$C$51)*('01_Inputs'!$D$51)))*('01_Inputs'!$C$35)*('01_Inputs'!$H$51))</x:f>
        <x:v>2684616704</x:v>
      </x:c>
      <x:c r="I10" s="69" t="n">
        <x:f>(0*'01_Inputs'!$C$5)</x:f>
        <x:v>0</x:v>
      </x:c>
      <x:c r="J10" s="69" t="n">
        <x:f>(((('01_Inputs'!$C$5)*('01_Inputs'!$C$6)))*('01_Inputs'!$D$51)*('01_Inputs'!$C$14))</x:f>
        <x:v>65536</x:v>
      </x:c>
      <x:c r="K10" s="69" t="n">
        <x:f>((1+0*'01_Inputs'!$C$5))*((((((('01_Inputs'!$C$5)*('01_Inputs'!$C$6)))*('01_Inputs'!$B$51)*('01_Inputs'!$C$14)))+('01_Inputs'!$C$5)*((('01_Inputs'!$B$51)*('01_Inputs'!$C$51)+('01_Inputs'!$C$51)*('01_Inputs'!$D$51)))*('01_Inputs'!$C$35)*('01_Inputs'!$H$51)))+0*('01_Inputs'!$C$5)</x:f>
        <x:v>2684616704</x:v>
      </x:c>
      <x:c r="L10" s="69" t="n">
        <x:f>((1+0*'01_Inputs'!$C$5))*(((0*'01_Inputs'!$C$5))+((((('01_Inputs'!$C$5)*('01_Inputs'!$C$6)))*('01_Inputs'!$D$51)*('01_Inputs'!$C$14))))+0*('01_Inputs'!$C$5)</x:f>
        <x:v>65536</x:v>
      </x:c>
      <x:c r="M10" s="69" t="n">
        <x:f>(('01_Inputs'!$C$5)*((('01_Inputs'!$B$51)*('01_Inputs'!$C$51)+('01_Inputs'!$C$51)*('01_Inputs'!$D$51)))*(('01_Inputs'!$C$35)+('01_Inputs'!$F$51)*('01_Inputs'!$C$36)))</x:f>
        <x:v>10738728960</x:v>
      </x:c>
      <x:c r="N10" s="66" t="n">
        <x:f>IF(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)=0,"",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)/(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))+0*('01_Inputs'!$C$5))</x:f>
        <x:v>3277.599926766752</x:v>
      </x:c>
      <x:c r="O10" s="66" t="n">
        <x:f>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/(('01_Inputs'!$C$31)*('02_HW'!$C$6))*('02_HW'!$C$10))</x:f>
        <x:v>8.892939176870089</x:v>
      </x:c>
      <x:c r="P10" s="66" t="n">
        <x:f>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/(('01_Inputs'!$C$32)*('02_HW'!$C$7))*('02_HW'!$C$10))</x:f>
        <x:v>0.8013976835820895</x:v>
      </x:c>
      <x:c r="Q10" s="66" t="n">
        <x:f>(MAX(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/(('01_Inputs'!$C$31)*('02_HW'!$C$6))*('02_HW'!$C$10)),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/(('01_Inputs'!$C$32)*('02_HW'!$C$7))*('02_HW'!$C$10)))+((1+0*'01_Inputs'!$C$5))*('02_HW'!$C$9)*('02_HW'!$C$10))</x:f>
        <x:v>8.892939176870089</x:v>
      </x:c>
      <x:c r="R10" s="21" t="str">
        <x:f>IF(O10&gt;P10,"compute",IF(P10&gt;O10,"memory","balanced"))&amp;IF('01_Inputs'!$C$5&gt;0,"","")</x:f>
        <x:v>compute</x:v>
      </x:c>
      <x:c r="S10" s="24" t="str">
        <x:v>Request-local mutable memory forward.</x:v>
      </x:c>
    </x:row>
    <x:row r="11">
      <x:c r="A11" s="21" t="n">
        <x:f>ROW()-5+0*('01_Inputs'!$C$5)</x:f>
        <x:v>6</x:v>
      </x:c>
      <x:c r="B11" s="21" t="str">
        <x:v>prefill</x:v>
      </x:c>
      <x:c r="C11" s="21" t="str">
        <x:v>titans</x:v>
      </x:c>
      <x:c r="D11" s="21" t="str">
        <x:v>M_mem_forward</x:v>
      </x:c>
      <x:c r="E11" s="24" t="str">
        <x:v>2NP + nonlinear terms</x:v>
      </x:c>
      <x:c r="F11" s="66" t="n">
        <x:f>(1+0*'01_Inputs'!$C$5)</x:f>
        <x:v>1</x:v>
      </x:c>
      <x:c r="G11" s="69" t="n">
        <x:f>(2*((('01_Inputs'!$C$5)*('01_Inputs'!$C$6)))*((('01_Inputs'!$B$52)*('01_Inputs'!$C$52)+('01_Inputs'!$C$52)*('01_Inputs'!$D$52)))+((('01_Inputs'!$C$5)*('01_Inputs'!$C$6)))*(('01_Inputs'!$C$37)*('01_Inputs'!$C$52)+('01_Inputs'!$C$38)*('01_Inputs'!$D$52)))</x:f>
        <x:v>17594870398976</x:v>
      </x:c>
      <x:c r="H11" s="69" t="n">
        <x:f>(((((('01_Inputs'!$C$5)*('01_Inputs'!$C$6)))*('01_Inputs'!$B$52)*('01_Inputs'!$C$14)))+('01_Inputs'!$C$5)*((('01_Inputs'!$B$52)*('01_Inputs'!$C$52)+('01_Inputs'!$C$52)*('01_Inputs'!$D$52)))*('01_Inputs'!$C$35)*('01_Inputs'!$H$52))</x:f>
        <x:v>4831838208</x:v>
      </x:c>
      <x:c r="I11" s="69" t="n">
        <x:f>(0*'01_Inputs'!$C$5)</x:f>
        <x:v>0</x:v>
      </x:c>
      <x:c r="J11" s="69" t="n">
        <x:f>(((('01_Inputs'!$C$5)*('01_Inputs'!$C$6)))*('01_Inputs'!$D$52)*('01_Inputs'!$C$14))</x:f>
        <x:v>536870912</x:v>
      </x:c>
      <x:c r="K11" s="69" t="n">
        <x:f>((1+0*'01_Inputs'!$C$5))*((((((('01_Inputs'!$C$5)*('01_Inputs'!$C$6)))*('01_Inputs'!$B$52)*('01_Inputs'!$C$14)))+('01_Inputs'!$C$5)*((('01_Inputs'!$B$52)*('01_Inputs'!$C$52)+('01_Inputs'!$C$52)*('01_Inputs'!$D$52)))*('01_Inputs'!$C$35)*('01_Inputs'!$H$52)))+0*('01_Inputs'!$C$5)</x:f>
        <x:v>4831838208</x:v>
      </x:c>
      <x:c r="L11" s="69" t="n">
        <x:f>((1+0*'01_Inputs'!$C$5))*(((0*'01_Inputs'!$C$5))+((((('01_Inputs'!$C$5)*('01_Inputs'!$C$6)))*('01_Inputs'!$D$52)*('01_Inputs'!$C$14))))+0*('01_Inputs'!$C$5)</x:f>
        <x:v>536870912</x:v>
      </x:c>
      <x:c r="M11" s="69" t="n">
        <x:f>(('01_Inputs'!$C$5)*((('01_Inputs'!$B$52)*('01_Inputs'!$C$52)+('01_Inputs'!$C$52)*('01_Inputs'!$D$52)))*(('01_Inputs'!$C$35)+('01_Inputs'!$F$52)*('01_Inputs'!$C$36)))</x:f>
        <x:v>21474836480</x:v>
      </x:c>
      <x:c r="N11" s="66" t="n">
        <x:f>IF(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)=0,"",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)/(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))+0*('01_Inputs'!$C$5))</x:f>
        <x:v>3277.3</x:v>
      </x:c>
      <x:c r="O11" s="66" t="n">
        <x:f>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/(('01_Inputs'!$C$31)*('02_HW'!$C$6))*('02_HW'!$C$10))</x:f>
        <x:v>17.78208013867598</x:v>
      </x:c>
      <x:c r="P11" s="66" t="n">
        <x:f>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/(('01_Inputs'!$C$32)*('02_HW'!$C$7))*('02_HW'!$C$10))</x:f>
        <x:v>1.6025997373134329</x:v>
      </x:c>
      <x:c r="Q11" s="66" t="n">
        <x:f>(MAX(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/(('01_Inputs'!$C$31)*('02_HW'!$C$6))*('02_HW'!$C$10)),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/(('01_Inputs'!$C$32)*('02_HW'!$C$7))*('02_HW'!$C$10)))+((1+0*'01_Inputs'!$C$5))*('02_HW'!$C$9)*('02_HW'!$C$10))</x:f>
        <x:v>17.78208013867598</x:v>
      </x:c>
      <x:c r="R11" s="21" t="str">
        <x:f>IF(O11&gt;P11,"compute",IF(P11&gt;O11,"memory","balanced"))&amp;IF('01_Inputs'!$C$5&gt;0,"","")</x:f>
        <x:v>compute</x:v>
      </x:c>
      <x:c r="S11" s="24" t="str">
        <x:v>Request-local mutable memory forward.</x:v>
      </x:c>
    </x:row>
    <x:row r="12">
      <x:c r="A12" s="21" t="n">
        <x:f>ROW()-5+0*('01_Inputs'!$C$5)</x:f>
        <x:v>7</x:v>
      </x:c>
      <x:c r="B12" s="21" t="str">
        <x:v>prefill</x:v>
      </x:c>
      <x:c r="C12" s="21" t="str">
        <x:v>titans_update</x:v>
      </x:c>
      <x:c r="D12" s="21" t="str">
        <x:v>M_k_target_forward</x:v>
      </x:c>
      <x:c r="E12" s="24" t="str">
        <x:v>Ffwd(N)</x:v>
      </x:c>
      <x:c r="F12" s="66" t="n">
        <x:f>(1+0*'01_Inputs'!$C$5)</x:f>
        <x:v>1</x:v>
      </x:c>
      <x:c r="G12" s="69" t="n">
        <x:f>(2*((('01_Inputs'!$C$5)*('01_Inputs'!$C$6)))*((('01_Inputs'!$B$48)*('01_Inputs'!$C$48)+('01_Inputs'!$C$48)*('01_Inputs'!$D$48)))+((('01_Inputs'!$C$5)*('01_Inputs'!$C$6)))*(('01_Inputs'!$C$37)*('01_Inputs'!$C$48)+('01_Inputs'!$C$38)*('01_Inputs'!$D$48)))</x:f>
        <x:v>17594870398976</x:v>
      </x:c>
      <x:c r="H12" s="69" t="n">
        <x:f>(((((('01_Inputs'!$C$5)*('01_Inputs'!$C$6)))*('01_Inputs'!$B$48)*('01_Inputs'!$C$14)))+('01_Inputs'!$C$5)*((('01_Inputs'!$B$48)*('01_Inputs'!$C$48)+('01_Inputs'!$C$48)*('01_Inputs'!$D$48)))*('01_Inputs'!$C$35)*('01_Inputs'!$H$48))</x:f>
        <x:v>4831838208</x:v>
      </x:c>
      <x:c r="I12" s="69" t="n">
        <x:f>(0*'01_Inputs'!$C$5)</x:f>
        <x:v>0</x:v>
      </x:c>
      <x:c r="J12" s="69" t="n">
        <x:f>(((('01_Inputs'!$C$5)*('01_Inputs'!$C$6)))*('01_Inputs'!$D$48)*('01_Inputs'!$C$14))</x:f>
        <x:v>536870912</x:v>
      </x:c>
      <x:c r="K12" s="69" t="n">
        <x:f>((1+0*'01_Inputs'!$C$5))*((((((('01_Inputs'!$C$5)*('01_Inputs'!$C$6)))*('01_Inputs'!$B$48)*('01_Inputs'!$C$14)))+('01_Inputs'!$C$5)*((('01_Inputs'!$B$48)*('01_Inputs'!$C$48)+('01_Inputs'!$C$48)*('01_Inputs'!$D$48)))*('01_Inputs'!$C$35)*('01_Inputs'!$H$48)))+0*('01_Inputs'!$C$5)</x:f>
        <x:v>4831838208</x:v>
      </x:c>
      <x:c r="L12" s="69" t="n">
        <x:f>((1+0*'01_Inputs'!$C$5))*(((0*'01_Inputs'!$C$5))+((((('01_Inputs'!$C$5)*('01_Inputs'!$C$6)))*('01_Inputs'!$D$48)*('01_Inputs'!$C$14))))+0*('01_Inputs'!$C$5)</x:f>
        <x:v>536870912</x:v>
      </x:c>
      <x:c r="M12" s="69" t="n">
        <x:f>(0*'01_Inputs'!$C$5)</x:f>
        <x:v>0</x:v>
      </x:c>
      <x:c r="N12" s="66" t="n">
        <x:f>IF(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)=0,"",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)/(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))+0*('01_Inputs'!$C$5))</x:f>
        <x:v>3277.3</x:v>
      </x:c>
      <x:c r="O12" s="66" t="n">
        <x:f>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/(('01_Inputs'!$C$31)*('02_HW'!$C$6))*('02_HW'!$C$10))</x:f>
        <x:v>17.78208013867598</x:v>
      </x:c>
      <x:c r="P12" s="66" t="n">
        <x:f>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/(('01_Inputs'!$C$32)*('02_HW'!$C$7))*('02_HW'!$C$10))</x:f>
        <x:v>1.6025997373134329</x:v>
      </x:c>
      <x:c r="Q12" s="66" t="n">
        <x:f>(MAX(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/(('01_Inputs'!$C$31)*('02_HW'!$C$6))*('02_HW'!$C$10)),(((1+0*'01_Inputs'!$C$5))*(((((((('01_Inputs'!$C$5)*('01_Inputs'!$C$6)))*('01_Inputs'!$B$48)*('01_Inputs'!$C$14)))+('01_Inputs'!$C$5)*((('01_Inputs'!$B$48)*('01_Inputs'!$C$48)+('01_Inputs'!$C$48)*('01_Inputs'!$D$48)))*('01_Inputs'!$C$35)*('01_Inputs'!$H$48)))+((0*'01_Inputs'!$C$5))+((((('01_Inputs'!$C$5)*('01_Inputs'!$C$6)))*('01_Inputs'!$D$48)*('01_Inputs'!$C$14))))/(('01_Inputs'!$C$32)*('02_HW'!$C$7))*('02_HW'!$C$10)))+((1+0*'01_Inputs'!$C$5))*('02_HW'!$C$9)*('02_HW'!$C$10))</x:f>
        <x:v>17.78208013867598</x:v>
      </x:c>
      <x:c r="R12" s="21" t="str">
        <x:f>IF(O12&gt;P12,"compute",IF(P12&gt;O12,"memory","balanced"))&amp;IF('01_Inputs'!$C$5&gt;0,"","")</x:f>
        <x:v>compute</x:v>
      </x:c>
      <x:c r="S12" s="24" t="str">
        <x:v>Explicit self-target term.</x:v>
      </x:c>
    </x:row>
    <x:row r="13">
      <x:c r="A13" s="21" t="n">
        <x:f>ROW()-5+0*('01_Inputs'!$C$5)</x:f>
        <x:v>8</x:v>
      </x:c>
      <x:c r="B13" s="21" t="str">
        <x:v>prefill</x:v>
      </x:c>
      <x:c r="C13" s="21" t="str">
        <x:v>titans_update</x:v>
      </x:c>
      <x:c r="D13" s="21" t="str">
        <x:v>M_k_prediction_forward</x:v>
      </x:c>
      <x:c r="E13" s="24" t="str">
        <x:v>Ffwd(N)</x:v>
      </x:c>
      <x:c r="F13" s="66" t="n">
        <x:f>(1+0*'01_Inputs'!$C$5)</x:f>
        <x:v>1</x:v>
      </x:c>
      <x:c r="G13" s="69" t="n">
        <x:f>(2*((('01_Inputs'!$C$5)*('01_Inputs'!$C$6)))*((('01_Inputs'!$B$48)*('01_Inputs'!$C$48)+('01_Inputs'!$C$48)*('01_Inputs'!$D$48)))+((('01_Inputs'!$C$5)*('01_Inputs'!$C$6)))*(('01_Inputs'!$C$37)*('01_Inputs'!$C$48)+('01_Inputs'!$C$38)*('01_Inputs'!$D$48)))</x:f>
        <x:v>17594870398976</x:v>
      </x:c>
      <x:c r="H13" s="69" t="n">
        <x:f>(((('01_Inputs'!$C$5)*('01_Inputs'!$C$6)))*('01_Inputs'!$B$48)*('01_Inputs'!$C$14))</x:f>
        <x:v>536870912</x:v>
      </x:c>
      <x:c r="I13" s="69" t="n">
        <x:f>(0*'01_Inputs'!$C$5)</x:f>
        <x:v>0</x:v>
      </x:c>
      <x:c r="J13" s="69" t="n">
        <x:f>(((('01_Inputs'!$C$5)*('01_Inputs'!$C$6)))*('01_Inputs'!$D$48)*('01_Inputs'!$C$14))</x:f>
        <x:v>536870912</x:v>
      </x:c>
      <x:c r="K13" s="69" t="n">
        <x:f>((1+0*'01_Inputs'!$C$5))*((((('01_Inputs'!$C$5)*('01_Inputs'!$C$6)))*('01_Inputs'!$B$48)*('01_Inputs'!$C$14)))+0*('01_Inputs'!$C$5)</x:f>
        <x:v>536870912</x:v>
      </x:c>
      <x:c r="L13" s="69" t="n">
        <x:f>((1+0*'01_Inputs'!$C$5))*(((0*'01_Inputs'!$C$5))+((((('01_Inputs'!$C$5)*('01_Inputs'!$C$6)))*('01_Inputs'!$D$48)*('01_Inputs'!$C$14))))+0*('01_Inputs'!$C$5)</x:f>
        <x:v>536870912</x:v>
      </x:c>
      <x:c r="M13" s="69" t="n">
        <x:f>(0*'01_Inputs'!$C$5)</x:f>
        <x:v>0</x:v>
      </x:c>
      <x:c r="N13" s="66" t="n">
        <x:f>IF((((1+0*'01_Inputs'!$C$5))*(((((('01_Inputs'!$C$5)*('01_Inputs'!$C$6)))*('01_Inputs'!$B$48)*('01_Inputs'!$C$14)))+((0*'01_Inputs'!$C$5))+((((('01_Inputs'!$C$5)*('01_Inputs'!$C$6)))*('01_Inputs'!$D$48)*('01_Inputs'!$C$14)))))=0,"",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)/((((1+0*'01_Inputs'!$C$5))*(((((('01_Inputs'!$C$5)*('01_Inputs'!$C$6)))*('01_Inputs'!$B$48)*('01_Inputs'!$C$14)))+((0*'01_Inputs'!$C$5))+((((('01_Inputs'!$C$5)*('01_Inputs'!$C$6)))*('01_Inputs'!$D$48)*('01_Inputs'!$C$14))))))+0*('01_Inputs'!$C$5))</x:f>
        <x:v>16386.5</x:v>
      </x:c>
      <x:c r="O13" s="66" t="n">
        <x:f>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/(('01_Inputs'!$C$31)*('02_HW'!$C$6))*('02_HW'!$C$10))</x:f>
        <x:v>17.78208013867598</x:v>
      </x:c>
      <x:c r="P13" s="66" t="n">
        <x:f>(((1+0*'01_Inputs'!$C$5))*(((((('01_Inputs'!$C$5)*('01_Inputs'!$C$6)))*('01_Inputs'!$B$48)*('01_Inputs'!$C$14)))+((0*'01_Inputs'!$C$5))+((((('01_Inputs'!$C$5)*('01_Inputs'!$C$6)))*('01_Inputs'!$D$48)*('01_Inputs'!$C$14))))/(('01_Inputs'!$C$32)*('02_HW'!$C$7))*('02_HW'!$C$10))</x:f>
        <x:v>0.3205199474626865</x:v>
      </x:c>
      <x:c r="Q13" s="66" t="n">
        <x:f>(MAX((((1+0*'01_Inputs'!$C$5))*((2*((('01_Inputs'!$C$5)*('01_Inputs'!$C$6)))*((('01_Inputs'!$B$48)*('01_Inputs'!$C$48)+('01_Inputs'!$C$48)*('01_Inputs'!$D$48)))+((('01_Inputs'!$C$5)*('01_Inputs'!$C$6)))*(('01_Inputs'!$C$37)*('01_Inputs'!$C$48)+('01_Inputs'!$C$38)*('01_Inputs'!$D$48))))/(('01_Inputs'!$C$31)*('02_HW'!$C$6))*('02_HW'!$C$10)),(((1+0*'01_Inputs'!$C$5))*(((((('01_Inputs'!$C$5)*('01_Inputs'!$C$6)))*('01_Inputs'!$B$48)*('01_Inputs'!$C$14)))+((0*'01_Inputs'!$C$5))+((((('01_Inputs'!$C$5)*('01_Inputs'!$C$6)))*('01_Inputs'!$D$48)*('01_Inputs'!$C$14))))/(('01_Inputs'!$C$32)*('02_HW'!$C$7))*('02_HW'!$C$10)))+((1+0*'01_Inputs'!$C$5))*('02_HW'!$C$9)*('02_HW'!$C$10))</x:f>
        <x:v>17.78208013867598</x:v>
      </x:c>
      <x:c r="R13" s="21" t="str">
        <x:f>IF(O13&gt;P13,"compute",IF(P13&gt;O13,"memory","balanced"))&amp;IF('01_Inputs'!$C$5&gt;0,"","")</x:f>
        <x:v>compute</x:v>
      </x:c>
      <x:c r="S13" s="24" t="str">
        <x:v>Explicit prediction term.</x:v>
      </x:c>
    </x:row>
    <x:row r="14">
      <x:c r="A14" s="21" t="n">
        <x:f>ROW()-5+0*('01_Inputs'!$C$5)</x:f>
        <x:v>9</x:v>
      </x:c>
      <x:c r="B14" s="21" t="str">
        <x:v>prefill</x:v>
      </x:c>
      <x:c r="C14" s="21" t="str">
        <x:v>titans_update</x:v>
      </x:c>
      <x:c r="D14" s="21" t="str">
        <x:v>M_k_weight_backward</x:v>
      </x:c>
      <x:c r="E14" s="24" t="str">
        <x:v>2NIH + 4NHO</x:v>
      </x:c>
      <x:c r="F14" s="66" t="n">
        <x:f>(1+0*'01_Inputs'!$C$5)</x:f>
        <x:v>1</x:v>
      </x:c>
      <x:c r="G14" s="69" t="n">
        <x:f>(2*((('01_Inputs'!$C$5)*('01_Inputs'!$C$6)))*('01_Inputs'!$B$48)*('01_Inputs'!$C$48)+4*((('01_Inputs'!$C$5)*('01_Inputs'!$C$6)))*('01_Inputs'!$C$48)*('01_Inputs'!$D$48))</x:f>
        <x:v>26388279066624</x:v>
      </x:c>
      <x:c r="H14" s="69" t="n">
        <x:f>(((('01_Inputs'!$C$5)*('01_Inputs'!$C$6)))*(('01_Inputs'!$B$48)+('01_Inputs'!$C$48)+('01_Inputs'!$D$48))*('01_Inputs'!$C$14))</x:f>
        <x:v>1610612736</x:v>
      </x:c>
      <x:c r="I14" s="69" t="n">
        <x:f>(0*'01_Inputs'!$C$5)</x:f>
        <x:v>0</x:v>
      </x:c>
      <x:c r="J14" s="69" t="n">
        <x:f>(('01_Inputs'!$C$5)*((('01_Inputs'!$B$48)*('01_Inputs'!$C$48)+('01_Inputs'!$C$48)*('01_Inputs'!$D$48)))*('01_Inputs'!$C$36))</x:f>
        <x:v>17179869184</x:v>
      </x:c>
      <x:c r="K14" s="69" t="n">
        <x:f>((1+0*'01_Inputs'!$C$5))*((((('01_Inputs'!$C$5)*('01_Inputs'!$C$6)))*(('01_Inputs'!$B$48)+('01_Inputs'!$C$48)+('01_Inputs'!$D$48))*('01_Inputs'!$C$14)))+0*('01_Inputs'!$C$5)</x:f>
        <x:v>1610612736</x:v>
      </x:c>
      <x:c r="L14" s="69" t="n">
        <x:f>((1+0*'01_Inputs'!$C$5))*(((0*'01_Inputs'!$C$5))+((('01_Inputs'!$C$5)*((('01_Inputs'!$B$48)*('01_Inputs'!$C$48)+('01_Inputs'!$C$48)*('01_Inputs'!$D$48)))*('01_Inputs'!$C$36))))+0*('01_Inputs'!$C$5)</x:f>
        <x:v>17179869184</x:v>
      </x:c>
      <x:c r="M14" s="69" t="n">
        <x:f>(0*'01_Inputs'!$C$5)</x:f>
        <x:v>0</x:v>
      </x:c>
      <x:c r="N14" s="66" t="n">
        <x:f>IF((((1+0*'01_Inputs'!$C$5))*(((((('01_Inputs'!$C$5)*('01_Inputs'!$C$6)))*(('01_Inputs'!$B$48)+('01_Inputs'!$C$48)+('01_Inputs'!$D$48))*('01_Inputs'!$C$14)))+((0*'01_Inputs'!$C$5))+((('01_Inputs'!$C$5)*((('01_Inputs'!$B$48)*('01_Inputs'!$C$48)+('01_Inputs'!$C$48)*('01_Inputs'!$D$48)))*('01_Inputs'!$C$36)))))=0,"",(((1+0*'01_Inputs'!$C$5))*((2*((('01_Inputs'!$C$5)*('01_Inputs'!$C$6)))*('01_Inputs'!$B$48)*('01_Inputs'!$C$48)+4*((('01_Inputs'!$C$5)*('01_Inputs'!$C$6)))*('01_Inputs'!$C$48)*('01_Inputs'!$D$48))))/((((1+0*'01_Inputs'!$C$5))*(((((('01_Inputs'!$C$5)*('01_Inputs'!$C$6)))*(('01_Inputs'!$B$48)+('01_Inputs'!$C$48)+('01_Inputs'!$D$48))*('01_Inputs'!$C$14)))+((0*'01_Inputs'!$C$5))+((('01_Inputs'!$C$5)*((('01_Inputs'!$B$48)*('01_Inputs'!$C$48)+('01_Inputs'!$C$48)*('01_Inputs'!$D$48)))*('01_Inputs'!$C$36))))))+0*('01_Inputs'!$C$5))</x:f>
        <x:v>1404.3428571428572</x:v>
      </x:c>
      <x:c r="O14" s="66" t="n">
        <x:f>(((1+0*'01_Inputs'!$C$5))*((2*((('01_Inputs'!$C$5)*('01_Inputs'!$C$6)))*('01_Inputs'!$B$48)*('01_Inputs'!$C$48)+4*((('01_Inputs'!$C$5)*('01_Inputs'!$C$6)))*('01_Inputs'!$C$48)*('01_Inputs'!$D$48)))/(('01_Inputs'!$C$31)*('02_HW'!$C$6))*('02_HW'!$C$10))</x:f>
        <x:v>26.66905083380227</x:v>
      </x:c>
      <x:c r="P14" s="66" t="n">
        <x:f>(((1+0*'01_Inputs'!$C$5))*(((((('01_Inputs'!$C$5)*('01_Inputs'!$C$6)))*(('01_Inputs'!$B$48)+('01_Inputs'!$C$48)+('01_Inputs'!$D$48))*('01_Inputs'!$C$14)))+((0*'01_Inputs'!$C$5))+((('01_Inputs'!$C$5)*((('01_Inputs'!$B$48)*('01_Inputs'!$C$48)+('01_Inputs'!$C$48)*('01_Inputs'!$D$48)))*('01_Inputs'!$C$36))))/(('01_Inputs'!$C$32)*('02_HW'!$C$7))*('02_HW'!$C$10))</x:f>
        <x:v>5.609099080597015</x:v>
      </x:c>
      <x:c r="Q14" s="66" t="n">
        <x:f>(MAX((((1+0*'01_Inputs'!$C$5))*((2*((('01_Inputs'!$C$5)*('01_Inputs'!$C$6)))*('01_Inputs'!$B$48)*('01_Inputs'!$C$48)+4*((('01_Inputs'!$C$5)*('01_Inputs'!$C$6)))*('01_Inputs'!$C$48)*('01_Inputs'!$D$48)))/(('01_Inputs'!$C$31)*('02_HW'!$C$6))*('02_HW'!$C$10)),(((1+0*'01_Inputs'!$C$5))*(((((('01_Inputs'!$C$5)*('01_Inputs'!$C$6)))*(('01_Inputs'!$B$48)+('01_Inputs'!$C$48)+('01_Inputs'!$D$48))*('01_Inputs'!$C$14)))+((0*'01_Inputs'!$C$5))+((('01_Inputs'!$C$5)*((('01_Inputs'!$B$48)*('01_Inputs'!$C$48)+('01_Inputs'!$C$48)*('01_Inputs'!$D$48)))*('01_Inputs'!$C$36))))/(('01_Inputs'!$C$32)*('02_HW'!$C$7))*('02_HW'!$C$10)))+((1+0*'01_Inputs'!$C$5))*('02_HW'!$C$9)*('02_HW'!$C$10))</x:f>
        <x:v>26.66905083380227</x:v>
      </x:c>
      <x:c r="R14" s="21" t="str">
        <x:f>IF(O14&gt;P14,"compute",IF(P14&gt;O14,"memory","balanced"))&amp;IF('01_Inputs'!$C$5&gt;0,"","")</x:f>
        <x:v>compute</x:v>
      </x:c>
      <x:c r="S14" s="24" t="str">
        <x:v>Weight-gradient backward; no input gradient.</x:v>
      </x:c>
    </x:row>
    <x:row r="15">
      <x:c r="A15" s="21" t="n">
        <x:f>ROW()-5+0*('01_Inputs'!$C$5)</x:f>
        <x:v>10</x:v>
      </x:c>
      <x:c r="B15" s="21" t="str">
        <x:v>prefill</x:v>
      </x:c>
      <x:c r="C15" s="21" t="str">
        <x:v>titans_update</x:v>
      </x:c>
      <x:c r="D15" s="21" t="str">
        <x:v>M_k_dgd_extra</x:v>
      </x:c>
      <x:c r="E15" s="24" t="str">
        <x:v>μFfwd − (2Ffwd+Fbwd)</x:v>
      </x:c>
      <x:c r="F15" s="66" t="n">
        <x:f>(1+0*'01_Inputs'!$C$5)</x:f>
        <x:v>1</x:v>
      </x:c>
      <x:c r="G15" s="69" t="n">
        <x:f>(('01_Inputs'!$G$48)*((2*((('01_Inputs'!$C$5)*('01_Inputs'!$C$6)))*((('01_Inputs'!$B$48)*('01_Inputs'!$C$48)+('01_Inputs'!$C$48)*('01_Inputs'!$D$48)))+((('01_Inputs'!$C$5)*('01_Inputs'!$C$6)))*(('01_Inputs'!$C$37)*('01_Inputs'!$C$48)+('01_Inputs'!$C$38)*('01_Inputs'!$D$48))))-(2*((2*((('01_Inputs'!$C$5)*('01_Inputs'!$C$6)))*((('01_Inputs'!$B$48)*('01_Inputs'!$C$48)+('01_Inputs'!$C$48)*('01_Inputs'!$D$48)))+((('01_Inputs'!$C$5)*('01_Inputs'!$C$6)))*(('01_Inputs'!$C$37)*('01_Inputs'!$C$48)+('01_Inputs'!$C$38)*('01_Inputs'!$D$48))))+((2*((('01_Inputs'!$C$5)*('01_Inputs'!$C$6)))*('01_Inputs'!$B$48)*('01_Inputs'!$C$48)+4*((('01_Inputs'!$C$5)*('01_Inputs'!$C$6)))*('01_Inputs'!$C$48)*('01_Inputs'!$D$48)))))</x:f>
        <x:v>8801461731328</x:v>
      </x:c>
      <x:c r="H15" s="69" t="n">
        <x:f>(('01_Inputs'!$C$5)*((('01_Inputs'!$B$48)*('01_Inputs'!$C$48)+('01_Inputs'!$C$48)*('01_Inputs'!$D$48)))*('01_Inputs'!$C$36))</x:f>
        <x:v>17179869184</x:v>
      </x:c>
      <x:c r="I15" s="69" t="n">
        <x:f>(0*'01_Inputs'!$C$5)</x:f>
        <x:v>0</x:v>
      </x:c>
      <x:c r="J15" s="69" t="n">
        <x:f>(('01_Inputs'!$C$5)*((('01_Inputs'!$B$48)*('01_Inputs'!$C$48)+('01_Inputs'!$C$48)*('01_Inputs'!$D$48)))*('01_Inputs'!$C$36))</x:f>
        <x:v>17179869184</x:v>
      </x:c>
      <x:c r="K15" s="69" t="n">
        <x:f>((1+0*'01_Inputs'!$C$5))*((('01_Inputs'!$C$5)*((('01_Inputs'!$B$48)*('01_Inputs'!$C$48)+('01_Inputs'!$C$48)*('01_Inputs'!$D$48)))*('01_Inputs'!$C$36)))+0*('01_Inputs'!$C$5)</x:f>
        <x:v>17179869184</x:v>
      </x:c>
      <x:c r="L15" s="69" t="n">
        <x:f>((1+0*'01_Inputs'!$C$5))*(((0*'01_Inputs'!$C$5))+((('01_Inputs'!$C$5)*((('01_Inputs'!$B$48)*('01_Inputs'!$C$48)+('01_Inputs'!$C$48)*('01_Inputs'!$D$48)))*('01_Inputs'!$C$36))))+0*('01_Inputs'!$C$5)</x:f>
        <x:v>17179869184</x:v>
      </x:c>
      <x:c r="M15" s="69" t="n">
        <x:f>(0*'01_Inputs'!$C$5)</x:f>
        <x:v>0</x:v>
      </x:c>
      <x:c r="N15" s="66" t="n">
        <x:f>IF(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)=0,"",(((1+0*'01_Inputs'!$C$5))*((('01_Inputs'!$G$48)*((2*((('01_Inputs'!$C$5)*('01_Inputs'!$C$6)))*((('01_Inputs'!$B$48)*('01_Inputs'!$C$48)+('01_Inputs'!$C$48)*('01_Inputs'!$D$48)))+((('01_Inputs'!$C$5)*('01_Inputs'!$C$6)))*(('01_Inputs'!$C$37)*('01_Inputs'!$C$48)+('01_Inputs'!$C$38)*('01_Inputs'!$D$48))))-(2*((2*((('01_Inputs'!$C$5)*('01_Inputs'!$C$6)))*((('01_Inputs'!$B$48)*('01_Inputs'!$C$48)+('01_Inputs'!$C$48)*('01_Inputs'!$D$48)))+((('01_Inputs'!$C$5)*('01_Inputs'!$C$6)))*(('01_Inputs'!$C$37)*('01_Inputs'!$C$48)+('01_Inputs'!$C$38)*('01_Inputs'!$D$48))))+((2*((('01_Inputs'!$C$5)*('01_Inputs'!$C$6)))*('01_Inputs'!$B$48)*('01_Inputs'!$C$48)+4*((('01_Inputs'!$C$5)*('01_Inputs'!$C$6)))*('01_Inputs'!$C$48)*('01_Inputs'!$D$48)))))))/(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))+0*('01_Inputs'!$C$5))</x:f>
        <x:v>256.15625</x:v>
      </x:c>
      <x:c r="O15" s="66" t="n">
        <x:f>(((1+0*'01_Inputs'!$C$5))*((('01_Inputs'!$G$48)*((2*((('01_Inputs'!$C$5)*('01_Inputs'!$C$6)))*((('01_Inputs'!$B$48)*('01_Inputs'!$C$48)+('01_Inputs'!$C$48)*('01_Inputs'!$D$48)))+((('01_Inputs'!$C$5)*('01_Inputs'!$C$6)))*(('01_Inputs'!$C$37)*('01_Inputs'!$C$48)+('01_Inputs'!$C$38)*('01_Inputs'!$D$48))))-(2*((2*((('01_Inputs'!$C$5)*('01_Inputs'!$C$6)))*((('01_Inputs'!$B$48)*('01_Inputs'!$C$48)+('01_Inputs'!$C$48)*('01_Inputs'!$D$48)))+((('01_Inputs'!$C$5)*('01_Inputs'!$C$6)))*(('01_Inputs'!$C$37)*('01_Inputs'!$C$48)+('01_Inputs'!$C$38)*('01_Inputs'!$D$48))))+((2*((('01_Inputs'!$C$5)*('01_Inputs'!$C$6)))*('01_Inputs'!$B$48)*('01_Inputs'!$C$48)+4*((('01_Inputs'!$C$5)*('01_Inputs'!$C$6)))*('01_Inputs'!$C$48)*('01_Inputs'!$D$48))))))/(('01_Inputs'!$C$31)*('02_HW'!$C$6))*('02_HW'!$C$10))</x:f>
        <x:v>8.895109443549691</x:v>
      </x:c>
      <x:c r="P15" s="66" t="n">
        <x:f>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/(('01_Inputs'!$C$32)*('02_HW'!$C$7))*('02_HW'!$C$10))</x:f>
        <x:v>10.256638318805969</x:v>
      </x:c>
      <x:c r="Q15" s="66" t="n">
        <x:f>(MAX((((1+0*'01_Inputs'!$C$5))*((('01_Inputs'!$G$48)*((2*((('01_Inputs'!$C$5)*('01_Inputs'!$C$6)))*((('01_Inputs'!$B$48)*('01_Inputs'!$C$48)+('01_Inputs'!$C$48)*('01_Inputs'!$D$48)))+((('01_Inputs'!$C$5)*('01_Inputs'!$C$6)))*(('01_Inputs'!$C$37)*('01_Inputs'!$C$48)+('01_Inputs'!$C$38)*('01_Inputs'!$D$48))))-(2*((2*((('01_Inputs'!$C$5)*('01_Inputs'!$C$6)))*((('01_Inputs'!$B$48)*('01_Inputs'!$C$48)+('01_Inputs'!$C$48)*('01_Inputs'!$D$48)))+((('01_Inputs'!$C$5)*('01_Inputs'!$C$6)))*(('01_Inputs'!$C$37)*('01_Inputs'!$C$48)+('01_Inputs'!$C$38)*('01_Inputs'!$D$48))))+((2*((('01_Inputs'!$C$5)*('01_Inputs'!$C$6)))*('01_Inputs'!$B$48)*('01_Inputs'!$C$48)+4*((('01_Inputs'!$C$5)*('01_Inputs'!$C$6)))*('01_Inputs'!$C$48)*('01_Inputs'!$D$48))))))/(('01_Inputs'!$C$31)*('02_HW'!$C$6))*('02_HW'!$C$10)),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/(('01_Inputs'!$C$32)*('02_HW'!$C$7))*('02_HW'!$C$10)))+((1+0*'01_Inputs'!$C$5))*('02_HW'!$C$9)*('02_HW'!$C$10))</x:f>
        <x:v>10.256638318805969</x:v>
      </x:c>
      <x:c r="R15" s="21" t="str">
        <x:f>IF(O15&gt;P15,"compute",IF(P15&gt;O15,"memory","balanced"))&amp;IF('01_Inputs'!$C$5&gt;0,"","")</x:f>
        <x:v>memory</x:v>
      </x:c>
      <x:c r="S15" s="24" t="str">
        <x:v>Residual DGD calibration.</x:v>
      </x:c>
    </x:row>
    <x:row r="16">
      <x:c r="A16" s="21" t="n">
        <x:f>ROW()-5+0*('01_Inputs'!$C$5)</x:f>
        <x:v>11</x:v>
      </x:c>
      <x:c r="B16" s="21" t="str">
        <x:v>prefill</x:v>
      </x:c>
      <x:c r="C16" s="21" t="str">
        <x:v>titans_update</x:v>
      </x:c>
      <x:c r="D16" s="21" t="str">
        <x:v>M_k_state_apply</x:v>
      </x:c>
      <x:c r="E16" s="24" t="str">
        <x:v>B(1+m)Pbs read + write</x:v>
      </x:c>
      <x:c r="F16" s="66" t="n">
        <x:f>(INT((('01_Inputs'!$C$40)+('01_Inputs'!$C$6))/('01_Inputs'!$E$48))-INT(('01_Inputs'!$C$40)/('01_Inputs'!$E$48))+0*'01_Inputs'!$C$5)</x:f>
        <x:v>1</x:v>
      </x:c>
      <x:c r="G16" s="69" t="n">
        <x:f>(0*'01_Inputs'!$C$5)</x:f>
        <x:v>0</x:v>
      </x:c>
      <x:c r="H16" s="69" t="n">
        <x:f>(('01_Inputs'!$C$5)*(1+('01_Inputs'!$F$48))*((('01_Inputs'!$B$48)*('01_Inputs'!$C$48)+('01_Inputs'!$C$48)*('01_Inputs'!$D$48)))*('01_Inputs'!$C$35))</x:f>
        <x:v>8589934592</x:v>
      </x:c>
      <x:c r="I16" s="69" t="n">
        <x:f>(('01_Inputs'!$C$5)*(1+('01_Inputs'!$F$48))*((('01_Inputs'!$B$48)*('01_Inputs'!$C$48)+('01_Inputs'!$C$48)*('01_Inputs'!$D$48)))*('01_Inputs'!$C$35))</x:f>
        <x:v>8589934592</x:v>
      </x:c>
      <x:c r="J16" s="69" t="n">
        <x:f>(0*'01_Inputs'!$C$5)</x:f>
        <x:v>0</x:v>
      </x:c>
      <x:c r="K16" s="69" t="n">
        <x:f>((INT((('01_Inputs'!$C$40)+('01_Inputs'!$C$6))/('01_Inputs'!$E$48))-INT(('01_Inputs'!$C$40)/('01_Inputs'!$E$48))+0*'01_Inputs'!$C$5))*((('01_Inputs'!$C$5)*(1+('01_Inputs'!$F$48))*((('01_Inputs'!$B$48)*('01_Inputs'!$C$48)+('01_Inputs'!$C$48)*('01_Inputs'!$D$48)))*('01_Inputs'!$C$35)))+0*('01_Inputs'!$C$5)</x:f>
        <x:v>8589934592</x:v>
      </x:c>
      <x:c r="L16" s="69" t="n">
        <x:f>((INT((('01_Inputs'!$C$40)+('01_Inputs'!$C$6))/('01_Inputs'!$E$48))-INT(('01_Inputs'!$C$40)/('01_Inputs'!$E$48))+0*'01_Inputs'!$C$5))*(((('01_Inputs'!$C$5)*(1+('01_Inputs'!$F$48))*((('01_Inputs'!$B$48)*('01_Inputs'!$C$48)+('01_Inputs'!$C$48)*('01_Inputs'!$D$48)))*('01_Inputs'!$C$35)))+((0*'01_Inputs'!$C$5)))+0*('01_Inputs'!$C$5)</x:f>
        <x:v>8589934592</x:v>
      </x:c>
      <x:c r="M16" s="69" t="n">
        <x:f>(0*'01_Inputs'!$C$5)</x:f>
        <x:v>0</x:v>
      </x:c>
      <x:c r="N16" s="66" t="n">
        <x:f>IF((((INT((('01_Inputs'!$C$40)+('01_Inputs'!$C$6))/('01_Inputs'!$E$48))-INT(('01_Inputs'!$C$40)/('01_Inputs'!$E$48)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)=0,"",(((INT((('01_Inputs'!$C$40)+('01_Inputs'!$C$6))/('01_Inputs'!$E$48))-INT(('01_Inputs'!$C$40)/('01_Inputs'!$E$48))+0*'01_Inputs'!$C$5))*((0*'01_Inputs'!$C$5)))/((((INT((('01_Inputs'!$C$40)+('01_Inputs'!$C$6))/('01_Inputs'!$E$48))-INT(('01_Inputs'!$C$40)/('01_Inputs'!$E$48)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))+0*('01_Inputs'!$C$5))</x:f>
        <x:v>0</x:v>
      </x:c>
      <x:c r="O16" s="66" t="n">
        <x:f>(((INT((('01_Inputs'!$C$40)+('01_Inputs'!$C$6))/('01_Inputs'!$E$48))-INT(('01_Inputs'!$C$40)/('01_Inputs'!$E$48))+0*'01_Inputs'!$C$5))*((0*'01_Inputs'!$C$5))/(('01_Inputs'!$C$31)*('02_HW'!$C$6))*('02_HW'!$C$10))</x:f>
        <x:v>0</x:v>
      </x:c>
      <x:c r="P16" s="66" t="n">
        <x:f>(((INT((('01_Inputs'!$C$40)+('01_Inputs'!$C$6))/('01_Inputs'!$E$48))-INT(('01_Inputs'!$C$40)/('01_Inputs'!$E$48)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/(('01_Inputs'!$C$32)*('02_HW'!$C$7))*('02_HW'!$C$10))</x:f>
        <x:v>5.128319159402984</x:v>
      </x:c>
      <x:c r="Q16" s="66" t="n">
        <x:f>(MAX((((INT((('01_Inputs'!$C$40)+('01_Inputs'!$C$6))/('01_Inputs'!$E$48))-INT(('01_Inputs'!$C$40)/('01_Inputs'!$E$48))+0*'01_Inputs'!$C$5))*((0*'01_Inputs'!$C$5))/(('01_Inputs'!$C$31)*('02_HW'!$C$6))*('02_HW'!$C$10)),(((INT((('01_Inputs'!$C$40)+('01_Inputs'!$C$6))/('01_Inputs'!$E$48))-INT(('01_Inputs'!$C$40)/('01_Inputs'!$E$48)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/(('01_Inputs'!$C$32)*('02_HW'!$C$7))*('02_HW'!$C$10)))+((INT((('01_Inputs'!$C$40)+('01_Inputs'!$C$6))/('01_Inputs'!$E$48))-INT(('01_Inputs'!$C$40)/('01_Inputs'!$E$48))+0*'01_Inputs'!$C$5))*('02_HW'!$C$9)*('02_HW'!$C$10))</x:f>
        <x:v>5.128319159402984</x:v>
      </x:c>
      <x:c r="R16" s="21" t="str">
        <x:f>IF(O16&gt;P16,"compute",IF(P16&gt;O16,"memory","balanced"))&amp;IF('01_Inputs'!$C$5&gt;0,"","")</x:f>
        <x:v>memory</x:v>
      </x:c>
      <x:c r="S16" s="24" t="str">
        <x:v>Boundary-count state RMW.</x:v>
      </x:c>
    </x:row>
    <x:row r="17">
      <x:c r="A17" s="21" t="n">
        <x:f>ROW()-5+0*('01_Inputs'!$C$5)</x:f>
        <x:v>12</x:v>
      </x:c>
      <x:c r="B17" s="21" t="str">
        <x:v>prefill</x:v>
      </x:c>
      <x:c r="C17" s="21" t="str">
        <x:v>titans_update</x:v>
      </x:c>
      <x:c r="D17" s="21" t="str">
        <x:v>M_v_target_forward</x:v>
      </x:c>
      <x:c r="E17" s="24" t="str">
        <x:v>Ffwd(N)</x:v>
      </x:c>
      <x:c r="F17" s="66" t="n">
        <x:f>(1+0*'01_Inputs'!$C$5)</x:f>
        <x:v>1</x:v>
      </x:c>
      <x:c r="G17" s="69" t="n">
        <x:f>(2*((('01_Inputs'!$C$5)*('01_Inputs'!$C$6)))*((('01_Inputs'!$B$49)*('01_Inputs'!$C$49)+('01_Inputs'!$C$49)*('01_Inputs'!$D$49)))+((('01_Inputs'!$C$5)*('01_Inputs'!$C$6)))*(('01_Inputs'!$C$37)*('01_Inputs'!$C$49)+('01_Inputs'!$C$38)*('01_Inputs'!$D$49)))</x:f>
        <x:v>17594870398976</x:v>
      </x:c>
      <x:c r="H17" s="69" t="n">
        <x:f>(((((('01_Inputs'!$C$5)*('01_Inputs'!$C$6)))*('01_Inputs'!$B$49)*('01_Inputs'!$C$14)))+('01_Inputs'!$C$5)*((('01_Inputs'!$B$49)*('01_Inputs'!$C$49)+('01_Inputs'!$C$49)*('01_Inputs'!$D$49)))*('01_Inputs'!$C$35)*('01_Inputs'!$H$49))</x:f>
        <x:v>4831838208</x:v>
      </x:c>
      <x:c r="I17" s="69" t="n">
        <x:f>(0*'01_Inputs'!$C$5)</x:f>
        <x:v>0</x:v>
      </x:c>
      <x:c r="J17" s="69" t="n">
        <x:f>(((('01_Inputs'!$C$5)*('01_Inputs'!$C$6)))*('01_Inputs'!$D$49)*('01_Inputs'!$C$14))</x:f>
        <x:v>536870912</x:v>
      </x:c>
      <x:c r="K17" s="69" t="n">
        <x:f>((1+0*'01_Inputs'!$C$5))*((((((('01_Inputs'!$C$5)*('01_Inputs'!$C$6)))*('01_Inputs'!$B$49)*('01_Inputs'!$C$14)))+('01_Inputs'!$C$5)*((('01_Inputs'!$B$49)*('01_Inputs'!$C$49)+('01_Inputs'!$C$49)*('01_Inputs'!$D$49)))*('01_Inputs'!$C$35)*('01_Inputs'!$H$49)))+0*('01_Inputs'!$C$5)</x:f>
        <x:v>4831838208</x:v>
      </x:c>
      <x:c r="L17" s="69" t="n">
        <x:f>((1+0*'01_Inputs'!$C$5))*(((0*'01_Inputs'!$C$5))+((((('01_Inputs'!$C$5)*('01_Inputs'!$C$6)))*('01_Inputs'!$D$49)*('01_Inputs'!$C$14))))+0*('01_Inputs'!$C$5)</x:f>
        <x:v>536870912</x:v>
      </x:c>
      <x:c r="M17" s="69" t="n">
        <x:f>(0*'01_Inputs'!$C$5)</x:f>
        <x:v>0</x:v>
      </x:c>
      <x:c r="N17" s="66" t="n">
        <x:f>IF(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)=0,"",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)/(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))+0*('01_Inputs'!$C$5))</x:f>
        <x:v>3277.3</x:v>
      </x:c>
      <x:c r="O17" s="66" t="n">
        <x:f>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/(('01_Inputs'!$C$31)*('02_HW'!$C$6))*('02_HW'!$C$10))</x:f>
        <x:v>17.78208013867598</x:v>
      </x:c>
      <x:c r="P17" s="66" t="n">
        <x:f>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/(('01_Inputs'!$C$32)*('02_HW'!$C$7))*('02_HW'!$C$10))</x:f>
        <x:v>1.6025997373134329</x:v>
      </x:c>
      <x:c r="Q17" s="66" t="n">
        <x:f>(MAX(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/(('01_Inputs'!$C$31)*('02_HW'!$C$6))*('02_HW'!$C$10)),(((1+0*'01_Inputs'!$C$5))*(((((((('01_Inputs'!$C$5)*('01_Inputs'!$C$6)))*('01_Inputs'!$B$49)*('01_Inputs'!$C$14)))+('01_Inputs'!$C$5)*((('01_Inputs'!$B$49)*('01_Inputs'!$C$49)+('01_Inputs'!$C$49)*('01_Inputs'!$D$49)))*('01_Inputs'!$C$35)*('01_Inputs'!$H$49)))+((0*'01_Inputs'!$C$5))+((((('01_Inputs'!$C$5)*('01_Inputs'!$C$6)))*('01_Inputs'!$D$49)*('01_Inputs'!$C$14))))/(('01_Inputs'!$C$32)*('02_HW'!$C$7))*('02_HW'!$C$10)))+((1+0*'01_Inputs'!$C$5))*('02_HW'!$C$9)*('02_HW'!$C$10))</x:f>
        <x:v>17.78208013867598</x:v>
      </x:c>
      <x:c r="R17" s="21" t="str">
        <x:f>IF(O17&gt;P17,"compute",IF(P17&gt;O17,"memory","balanced"))&amp;IF('01_Inputs'!$C$5&gt;0,"","")</x:f>
        <x:v>compute</x:v>
      </x:c>
      <x:c r="S17" s="24" t="str">
        <x:v>Explicit self-target term.</x:v>
      </x:c>
    </x:row>
    <x:row r="18">
      <x:c r="A18" s="21" t="n">
        <x:f>ROW()-5+0*('01_Inputs'!$C$5)</x:f>
        <x:v>13</x:v>
      </x:c>
      <x:c r="B18" s="21" t="str">
        <x:v>prefill</x:v>
      </x:c>
      <x:c r="C18" s="21" t="str">
        <x:v>titans_update</x:v>
      </x:c>
      <x:c r="D18" s="21" t="str">
        <x:v>M_v_prediction_forward</x:v>
      </x:c>
      <x:c r="E18" s="24" t="str">
        <x:v>Ffwd(N)</x:v>
      </x:c>
      <x:c r="F18" s="66" t="n">
        <x:f>(1+0*'01_Inputs'!$C$5)</x:f>
        <x:v>1</x:v>
      </x:c>
      <x:c r="G18" s="69" t="n">
        <x:f>(2*((('01_Inputs'!$C$5)*('01_Inputs'!$C$6)))*((('01_Inputs'!$B$49)*('01_Inputs'!$C$49)+('01_Inputs'!$C$49)*('01_Inputs'!$D$49)))+((('01_Inputs'!$C$5)*('01_Inputs'!$C$6)))*(('01_Inputs'!$C$37)*('01_Inputs'!$C$49)+('01_Inputs'!$C$38)*('01_Inputs'!$D$49)))</x:f>
        <x:v>17594870398976</x:v>
      </x:c>
      <x:c r="H18" s="69" t="n">
        <x:f>(((('01_Inputs'!$C$5)*('01_Inputs'!$C$6)))*('01_Inputs'!$B$49)*('01_Inputs'!$C$14))</x:f>
        <x:v>536870912</x:v>
      </x:c>
      <x:c r="I18" s="69" t="n">
        <x:f>(0*'01_Inputs'!$C$5)</x:f>
        <x:v>0</x:v>
      </x:c>
      <x:c r="J18" s="69" t="n">
        <x:f>(((('01_Inputs'!$C$5)*('01_Inputs'!$C$6)))*('01_Inputs'!$D$49)*('01_Inputs'!$C$14))</x:f>
        <x:v>536870912</x:v>
      </x:c>
      <x:c r="K18" s="69" t="n">
        <x:f>((1+0*'01_Inputs'!$C$5))*((((('01_Inputs'!$C$5)*('01_Inputs'!$C$6)))*('01_Inputs'!$B$49)*('01_Inputs'!$C$14)))+0*('01_Inputs'!$C$5)</x:f>
        <x:v>536870912</x:v>
      </x:c>
      <x:c r="L18" s="69" t="n">
        <x:f>((1+0*'01_Inputs'!$C$5))*(((0*'01_Inputs'!$C$5))+((((('01_Inputs'!$C$5)*('01_Inputs'!$C$6)))*('01_Inputs'!$D$49)*('01_Inputs'!$C$14))))+0*('01_Inputs'!$C$5)</x:f>
        <x:v>536870912</x:v>
      </x:c>
      <x:c r="M18" s="69" t="n">
        <x:f>(0*'01_Inputs'!$C$5)</x:f>
        <x:v>0</x:v>
      </x:c>
      <x:c r="N18" s="66" t="n">
        <x:f>IF((((1+0*'01_Inputs'!$C$5))*(((((('01_Inputs'!$C$5)*('01_Inputs'!$C$6)))*('01_Inputs'!$B$49)*('01_Inputs'!$C$14)))+((0*'01_Inputs'!$C$5))+((((('01_Inputs'!$C$5)*('01_Inputs'!$C$6)))*('01_Inputs'!$D$49)*('01_Inputs'!$C$14)))))=0,"",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)/((((1+0*'01_Inputs'!$C$5))*(((((('01_Inputs'!$C$5)*('01_Inputs'!$C$6)))*('01_Inputs'!$B$49)*('01_Inputs'!$C$14)))+((0*'01_Inputs'!$C$5))+((((('01_Inputs'!$C$5)*('01_Inputs'!$C$6)))*('01_Inputs'!$D$49)*('01_Inputs'!$C$14))))))+0*('01_Inputs'!$C$5))</x:f>
        <x:v>16386.5</x:v>
      </x:c>
      <x:c r="O18" s="66" t="n">
        <x:f>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/(('01_Inputs'!$C$31)*('02_HW'!$C$6))*('02_HW'!$C$10))</x:f>
        <x:v>17.78208013867598</x:v>
      </x:c>
      <x:c r="P18" s="66" t="n">
        <x:f>(((1+0*'01_Inputs'!$C$5))*(((((('01_Inputs'!$C$5)*('01_Inputs'!$C$6)))*('01_Inputs'!$B$49)*('01_Inputs'!$C$14)))+((0*'01_Inputs'!$C$5))+((((('01_Inputs'!$C$5)*('01_Inputs'!$C$6)))*('01_Inputs'!$D$49)*('01_Inputs'!$C$14))))/(('01_Inputs'!$C$32)*('02_HW'!$C$7))*('02_HW'!$C$10))</x:f>
        <x:v>0.3205199474626865</x:v>
      </x:c>
      <x:c r="Q18" s="66" t="n">
        <x:f>(MAX((((1+0*'01_Inputs'!$C$5))*((2*((('01_Inputs'!$C$5)*('01_Inputs'!$C$6)))*((('01_Inputs'!$B$49)*('01_Inputs'!$C$49)+('01_Inputs'!$C$49)*('01_Inputs'!$D$49)))+((('01_Inputs'!$C$5)*('01_Inputs'!$C$6)))*(('01_Inputs'!$C$37)*('01_Inputs'!$C$49)+('01_Inputs'!$C$38)*('01_Inputs'!$D$49))))/(('01_Inputs'!$C$31)*('02_HW'!$C$6))*('02_HW'!$C$10)),(((1+0*'01_Inputs'!$C$5))*(((((('01_Inputs'!$C$5)*('01_Inputs'!$C$6)))*('01_Inputs'!$B$49)*('01_Inputs'!$C$14)))+((0*'01_Inputs'!$C$5))+((((('01_Inputs'!$C$5)*('01_Inputs'!$C$6)))*('01_Inputs'!$D$49)*('01_Inputs'!$C$14))))/(('01_Inputs'!$C$32)*('02_HW'!$C$7))*('02_HW'!$C$10)))+((1+0*'01_Inputs'!$C$5))*('02_HW'!$C$9)*('02_HW'!$C$10))</x:f>
        <x:v>17.78208013867598</x:v>
      </x:c>
      <x:c r="R18" s="21" t="str">
        <x:f>IF(O18&gt;P18,"compute",IF(P18&gt;O18,"memory","balanced"))&amp;IF('01_Inputs'!$C$5&gt;0,"","")</x:f>
        <x:v>compute</x:v>
      </x:c>
      <x:c r="S18" s="24" t="str">
        <x:v>Explicit prediction term.</x:v>
      </x:c>
    </x:row>
    <x:row r="19">
      <x:c r="A19" s="21" t="n">
        <x:f>ROW()-5+0*('01_Inputs'!$C$5)</x:f>
        <x:v>14</x:v>
      </x:c>
      <x:c r="B19" s="21" t="str">
        <x:v>prefill</x:v>
      </x:c>
      <x:c r="C19" s="21" t="str">
        <x:v>titans_update</x:v>
      </x:c>
      <x:c r="D19" s="21" t="str">
        <x:v>M_v_weight_backward</x:v>
      </x:c>
      <x:c r="E19" s="24" t="str">
        <x:v>2NIH + 4NHO</x:v>
      </x:c>
      <x:c r="F19" s="66" t="n">
        <x:f>(1+0*'01_Inputs'!$C$5)</x:f>
        <x:v>1</x:v>
      </x:c>
      <x:c r="G19" s="69" t="n">
        <x:f>(2*((('01_Inputs'!$C$5)*('01_Inputs'!$C$6)))*('01_Inputs'!$B$49)*('01_Inputs'!$C$49)+4*((('01_Inputs'!$C$5)*('01_Inputs'!$C$6)))*('01_Inputs'!$C$49)*('01_Inputs'!$D$49))</x:f>
        <x:v>26388279066624</x:v>
      </x:c>
      <x:c r="H19" s="69" t="n">
        <x:f>(((('01_Inputs'!$C$5)*('01_Inputs'!$C$6)))*(('01_Inputs'!$B$49)+('01_Inputs'!$C$49)+('01_Inputs'!$D$49))*('01_Inputs'!$C$14))</x:f>
        <x:v>1610612736</x:v>
      </x:c>
      <x:c r="I19" s="69" t="n">
        <x:f>(0*'01_Inputs'!$C$5)</x:f>
        <x:v>0</x:v>
      </x:c>
      <x:c r="J19" s="69" t="n">
        <x:f>(('01_Inputs'!$C$5)*((('01_Inputs'!$B$49)*('01_Inputs'!$C$49)+('01_Inputs'!$C$49)*('01_Inputs'!$D$49)))*('01_Inputs'!$C$36))</x:f>
        <x:v>17179869184</x:v>
      </x:c>
      <x:c r="K19" s="69" t="n">
        <x:f>((1+0*'01_Inputs'!$C$5))*((((('01_Inputs'!$C$5)*('01_Inputs'!$C$6)))*(('01_Inputs'!$B$49)+('01_Inputs'!$C$49)+('01_Inputs'!$D$49))*('01_Inputs'!$C$14)))+0*('01_Inputs'!$C$5)</x:f>
        <x:v>1610612736</x:v>
      </x:c>
      <x:c r="L19" s="69" t="n">
        <x:f>((1+0*'01_Inputs'!$C$5))*(((0*'01_Inputs'!$C$5))+((('01_Inputs'!$C$5)*((('01_Inputs'!$B$49)*('01_Inputs'!$C$49)+('01_Inputs'!$C$49)*('01_Inputs'!$D$49)))*('01_Inputs'!$C$36))))+0*('01_Inputs'!$C$5)</x:f>
        <x:v>17179869184</x:v>
      </x:c>
      <x:c r="M19" s="69" t="n">
        <x:f>(0*'01_Inputs'!$C$5)</x:f>
        <x:v>0</x:v>
      </x:c>
      <x:c r="N19" s="66" t="n">
        <x:f>IF((((1+0*'01_Inputs'!$C$5))*(((((('01_Inputs'!$C$5)*('01_Inputs'!$C$6)))*(('01_Inputs'!$B$49)+('01_Inputs'!$C$49)+('01_Inputs'!$D$49))*('01_Inputs'!$C$14)))+((0*'01_Inputs'!$C$5))+((('01_Inputs'!$C$5)*((('01_Inputs'!$B$49)*('01_Inputs'!$C$49)+('01_Inputs'!$C$49)*('01_Inputs'!$D$49)))*('01_Inputs'!$C$36)))))=0,"",(((1+0*'01_Inputs'!$C$5))*((2*((('01_Inputs'!$C$5)*('01_Inputs'!$C$6)))*('01_Inputs'!$B$49)*('01_Inputs'!$C$49)+4*((('01_Inputs'!$C$5)*('01_Inputs'!$C$6)))*('01_Inputs'!$C$49)*('01_Inputs'!$D$49))))/((((1+0*'01_Inputs'!$C$5))*(((((('01_Inputs'!$C$5)*('01_Inputs'!$C$6)))*(('01_Inputs'!$B$49)+('01_Inputs'!$C$49)+('01_Inputs'!$D$49))*('01_Inputs'!$C$14)))+((0*'01_Inputs'!$C$5))+((('01_Inputs'!$C$5)*((('01_Inputs'!$B$49)*('01_Inputs'!$C$49)+('01_Inputs'!$C$49)*('01_Inputs'!$D$49)))*('01_Inputs'!$C$36))))))+0*('01_Inputs'!$C$5))</x:f>
        <x:v>1404.3428571428572</x:v>
      </x:c>
      <x:c r="O19" s="66" t="n">
        <x:f>(((1+0*'01_Inputs'!$C$5))*((2*((('01_Inputs'!$C$5)*('01_Inputs'!$C$6)))*('01_Inputs'!$B$49)*('01_Inputs'!$C$49)+4*((('01_Inputs'!$C$5)*('01_Inputs'!$C$6)))*('01_Inputs'!$C$49)*('01_Inputs'!$D$49)))/(('01_Inputs'!$C$31)*('02_HW'!$C$6))*('02_HW'!$C$10))</x:f>
        <x:v>26.66905083380227</x:v>
      </x:c>
      <x:c r="P19" s="66" t="n">
        <x:f>(((1+0*'01_Inputs'!$C$5))*(((((('01_Inputs'!$C$5)*('01_Inputs'!$C$6)))*(('01_Inputs'!$B$49)+('01_Inputs'!$C$49)+('01_Inputs'!$D$49))*('01_Inputs'!$C$14)))+((0*'01_Inputs'!$C$5))+((('01_Inputs'!$C$5)*((('01_Inputs'!$B$49)*('01_Inputs'!$C$49)+('01_Inputs'!$C$49)*('01_Inputs'!$D$49)))*('01_Inputs'!$C$36))))/(('01_Inputs'!$C$32)*('02_HW'!$C$7))*('02_HW'!$C$10))</x:f>
        <x:v>5.609099080597015</x:v>
      </x:c>
      <x:c r="Q19" s="66" t="n">
        <x:f>(MAX((((1+0*'01_Inputs'!$C$5))*((2*((('01_Inputs'!$C$5)*('01_Inputs'!$C$6)))*('01_Inputs'!$B$49)*('01_Inputs'!$C$49)+4*((('01_Inputs'!$C$5)*('01_Inputs'!$C$6)))*('01_Inputs'!$C$49)*('01_Inputs'!$D$49)))/(('01_Inputs'!$C$31)*('02_HW'!$C$6))*('02_HW'!$C$10)),(((1+0*'01_Inputs'!$C$5))*(((((('01_Inputs'!$C$5)*('01_Inputs'!$C$6)))*(('01_Inputs'!$B$49)+('01_Inputs'!$C$49)+('01_Inputs'!$D$49))*('01_Inputs'!$C$14)))+((0*'01_Inputs'!$C$5))+((('01_Inputs'!$C$5)*((('01_Inputs'!$B$49)*('01_Inputs'!$C$49)+('01_Inputs'!$C$49)*('01_Inputs'!$D$49)))*('01_Inputs'!$C$36))))/(('01_Inputs'!$C$32)*('02_HW'!$C$7))*('02_HW'!$C$10)))+((1+0*'01_Inputs'!$C$5))*('02_HW'!$C$9)*('02_HW'!$C$10))</x:f>
        <x:v>26.66905083380227</x:v>
      </x:c>
      <x:c r="R19" s="21" t="str">
        <x:f>IF(O19&gt;P19,"compute",IF(P19&gt;O19,"memory","balanced"))&amp;IF('01_Inputs'!$C$5&gt;0,"","")</x:f>
        <x:v>compute</x:v>
      </x:c>
      <x:c r="S19" s="24" t="str">
        <x:v>Weight-gradient backward; no input gradient.</x:v>
      </x:c>
    </x:row>
    <x:row r="20">
      <x:c r="A20" s="21" t="n">
        <x:f>ROW()-5+0*('01_Inputs'!$C$5)</x:f>
        <x:v>15</x:v>
      </x:c>
      <x:c r="B20" s="21" t="str">
        <x:v>prefill</x:v>
      </x:c>
      <x:c r="C20" s="21" t="str">
        <x:v>titans_update</x:v>
      </x:c>
      <x:c r="D20" s="21" t="str">
        <x:v>M_v_dgd_extra</x:v>
      </x:c>
      <x:c r="E20" s="24" t="str">
        <x:v>μFfwd − (2Ffwd+Fbwd)</x:v>
      </x:c>
      <x:c r="F20" s="66" t="n">
        <x:f>(1+0*'01_Inputs'!$C$5)</x:f>
        <x:v>1</x:v>
      </x:c>
      <x:c r="G20" s="69" t="n">
        <x:f>(('01_Inputs'!$G$49)*((2*((('01_Inputs'!$C$5)*('01_Inputs'!$C$6)))*((('01_Inputs'!$B$49)*('01_Inputs'!$C$49)+('01_Inputs'!$C$49)*('01_Inputs'!$D$49)))+((('01_Inputs'!$C$5)*('01_Inputs'!$C$6)))*(('01_Inputs'!$C$37)*('01_Inputs'!$C$49)+('01_Inputs'!$C$38)*('01_Inputs'!$D$49))))-(2*((2*((('01_Inputs'!$C$5)*('01_Inputs'!$C$6)))*((('01_Inputs'!$B$49)*('01_Inputs'!$C$49)+('01_Inputs'!$C$49)*('01_Inputs'!$D$49)))+((('01_Inputs'!$C$5)*('01_Inputs'!$C$6)))*(('01_Inputs'!$C$37)*('01_Inputs'!$C$49)+('01_Inputs'!$C$38)*('01_Inputs'!$D$49))))+((2*((('01_Inputs'!$C$5)*('01_Inputs'!$C$6)))*('01_Inputs'!$B$49)*('01_Inputs'!$C$49)+4*((('01_Inputs'!$C$5)*('01_Inputs'!$C$6)))*('01_Inputs'!$C$49)*('01_Inputs'!$D$49)))))</x:f>
        <x:v>8801461731328</x:v>
      </x:c>
      <x:c r="H20" s="69" t="n">
        <x:f>(('01_Inputs'!$C$5)*((('01_Inputs'!$B$49)*('01_Inputs'!$C$49)+('01_Inputs'!$C$49)*('01_Inputs'!$D$49)))*('01_Inputs'!$C$36))</x:f>
        <x:v>17179869184</x:v>
      </x:c>
      <x:c r="I20" s="69" t="n">
        <x:f>(0*'01_Inputs'!$C$5)</x:f>
        <x:v>0</x:v>
      </x:c>
      <x:c r="J20" s="69" t="n">
        <x:f>(('01_Inputs'!$C$5)*((('01_Inputs'!$B$49)*('01_Inputs'!$C$49)+('01_Inputs'!$C$49)*('01_Inputs'!$D$49)))*('01_Inputs'!$C$36))</x:f>
        <x:v>17179869184</x:v>
      </x:c>
      <x:c r="K20" s="69" t="n">
        <x:f>((1+0*'01_Inputs'!$C$5))*((('01_Inputs'!$C$5)*((('01_Inputs'!$B$49)*('01_Inputs'!$C$49)+('01_Inputs'!$C$49)*('01_Inputs'!$D$49)))*('01_Inputs'!$C$36)))+0*('01_Inputs'!$C$5)</x:f>
        <x:v>17179869184</x:v>
      </x:c>
      <x:c r="L20" s="69" t="n">
        <x:f>((1+0*'01_Inputs'!$C$5))*(((0*'01_Inputs'!$C$5))+((('01_Inputs'!$C$5)*((('01_Inputs'!$B$49)*('01_Inputs'!$C$49)+('01_Inputs'!$C$49)*('01_Inputs'!$D$49)))*('01_Inputs'!$C$36))))+0*('01_Inputs'!$C$5)</x:f>
        <x:v>17179869184</x:v>
      </x:c>
      <x:c r="M20" s="69" t="n">
        <x:f>(0*'01_Inputs'!$C$5)</x:f>
        <x:v>0</x:v>
      </x:c>
      <x:c r="N20" s="66" t="n">
        <x:f>IF(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)=0,"",(((1+0*'01_Inputs'!$C$5))*((('01_Inputs'!$G$49)*((2*((('01_Inputs'!$C$5)*('01_Inputs'!$C$6)))*((('01_Inputs'!$B$49)*('01_Inputs'!$C$49)+('01_Inputs'!$C$49)*('01_Inputs'!$D$49)))+((('01_Inputs'!$C$5)*('01_Inputs'!$C$6)))*(('01_Inputs'!$C$37)*('01_Inputs'!$C$49)+('01_Inputs'!$C$38)*('01_Inputs'!$D$49))))-(2*((2*((('01_Inputs'!$C$5)*('01_Inputs'!$C$6)))*((('01_Inputs'!$B$49)*('01_Inputs'!$C$49)+('01_Inputs'!$C$49)*('01_Inputs'!$D$49)))+((('01_Inputs'!$C$5)*('01_Inputs'!$C$6)))*(('01_Inputs'!$C$37)*('01_Inputs'!$C$49)+('01_Inputs'!$C$38)*('01_Inputs'!$D$49))))+((2*((('01_Inputs'!$C$5)*('01_Inputs'!$C$6)))*('01_Inputs'!$B$49)*('01_Inputs'!$C$49)+4*((('01_Inputs'!$C$5)*('01_Inputs'!$C$6)))*('01_Inputs'!$C$49)*('01_Inputs'!$D$49)))))))/(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))+0*('01_Inputs'!$C$5))</x:f>
        <x:v>256.15625</x:v>
      </x:c>
      <x:c r="O20" s="66" t="n">
        <x:f>(((1+0*'01_Inputs'!$C$5))*((('01_Inputs'!$G$49)*((2*((('01_Inputs'!$C$5)*('01_Inputs'!$C$6)))*((('01_Inputs'!$B$49)*('01_Inputs'!$C$49)+('01_Inputs'!$C$49)*('01_Inputs'!$D$49)))+((('01_Inputs'!$C$5)*('01_Inputs'!$C$6)))*(('01_Inputs'!$C$37)*('01_Inputs'!$C$49)+('01_Inputs'!$C$38)*('01_Inputs'!$D$49))))-(2*((2*((('01_Inputs'!$C$5)*('01_Inputs'!$C$6)))*((('01_Inputs'!$B$49)*('01_Inputs'!$C$49)+('01_Inputs'!$C$49)*('01_Inputs'!$D$49)))+((('01_Inputs'!$C$5)*('01_Inputs'!$C$6)))*(('01_Inputs'!$C$37)*('01_Inputs'!$C$49)+('01_Inputs'!$C$38)*('01_Inputs'!$D$49))))+((2*((('01_Inputs'!$C$5)*('01_Inputs'!$C$6)))*('01_Inputs'!$B$49)*('01_Inputs'!$C$49)+4*((('01_Inputs'!$C$5)*('01_Inputs'!$C$6)))*('01_Inputs'!$C$49)*('01_Inputs'!$D$49))))))/(('01_Inputs'!$C$31)*('02_HW'!$C$6))*('02_HW'!$C$10))</x:f>
        <x:v>8.895109443549691</x:v>
      </x:c>
      <x:c r="P20" s="66" t="n">
        <x:f>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/(('01_Inputs'!$C$32)*('02_HW'!$C$7))*('02_HW'!$C$10))</x:f>
        <x:v>10.256638318805969</x:v>
      </x:c>
      <x:c r="Q20" s="66" t="n">
        <x:f>(MAX((((1+0*'01_Inputs'!$C$5))*((('01_Inputs'!$G$49)*((2*((('01_Inputs'!$C$5)*('01_Inputs'!$C$6)))*((('01_Inputs'!$B$49)*('01_Inputs'!$C$49)+('01_Inputs'!$C$49)*('01_Inputs'!$D$49)))+((('01_Inputs'!$C$5)*('01_Inputs'!$C$6)))*(('01_Inputs'!$C$37)*('01_Inputs'!$C$49)+('01_Inputs'!$C$38)*('01_Inputs'!$D$49))))-(2*((2*((('01_Inputs'!$C$5)*('01_Inputs'!$C$6)))*((('01_Inputs'!$B$49)*('01_Inputs'!$C$49)+('01_Inputs'!$C$49)*('01_Inputs'!$D$49)))+((('01_Inputs'!$C$5)*('01_Inputs'!$C$6)))*(('01_Inputs'!$C$37)*('01_Inputs'!$C$49)+('01_Inputs'!$C$38)*('01_Inputs'!$D$49))))+((2*((('01_Inputs'!$C$5)*('01_Inputs'!$C$6)))*('01_Inputs'!$B$49)*('01_Inputs'!$C$49)+4*((('01_Inputs'!$C$5)*('01_Inputs'!$C$6)))*('01_Inputs'!$C$49)*('01_Inputs'!$D$49))))))/(('01_Inputs'!$C$31)*('02_HW'!$C$6))*('02_HW'!$C$10)),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/(('01_Inputs'!$C$32)*('02_HW'!$C$7))*('02_HW'!$C$10)))+((1+0*'01_Inputs'!$C$5))*('02_HW'!$C$9)*('02_HW'!$C$10))</x:f>
        <x:v>10.256638318805969</x:v>
      </x:c>
      <x:c r="R20" s="21" t="str">
        <x:f>IF(O20&gt;P20,"compute",IF(P20&gt;O20,"memory","balanced"))&amp;IF('01_Inputs'!$C$5&gt;0,"","")</x:f>
        <x:v>memory</x:v>
      </x:c>
      <x:c r="S20" s="24" t="str">
        <x:v>Residual DGD calibration.</x:v>
      </x:c>
    </x:row>
    <x:row r="21">
      <x:c r="A21" s="21" t="n">
        <x:f>ROW()-5+0*('01_Inputs'!$C$5)</x:f>
        <x:v>16</x:v>
      </x:c>
      <x:c r="B21" s="21" t="str">
        <x:v>prefill</x:v>
      </x:c>
      <x:c r="C21" s="21" t="str">
        <x:v>titans_update</x:v>
      </x:c>
      <x:c r="D21" s="21" t="str">
        <x:v>M_v_state_apply</x:v>
      </x:c>
      <x:c r="E21" s="24" t="str">
        <x:v>B(1+m)Pbs read + write</x:v>
      </x:c>
      <x:c r="F21" s="66" t="n">
        <x:f>(INT((('01_Inputs'!$C$40)+('01_Inputs'!$C$6))/('01_Inputs'!$E$49))-INT(('01_Inputs'!$C$40)/('01_Inputs'!$E$49))+0*'01_Inputs'!$C$5)</x:f>
        <x:v>1</x:v>
      </x:c>
      <x:c r="G21" s="69" t="n">
        <x:f>(0*'01_Inputs'!$C$5)</x:f>
        <x:v>0</x:v>
      </x:c>
      <x:c r="H21" s="69" t="n">
        <x:f>(('01_Inputs'!$C$5)*(1+('01_Inputs'!$F$49))*((('01_Inputs'!$B$49)*('01_Inputs'!$C$49)+('01_Inputs'!$C$49)*('01_Inputs'!$D$49)))*('01_Inputs'!$C$35))</x:f>
        <x:v>8589934592</x:v>
      </x:c>
      <x:c r="I21" s="69" t="n">
        <x:f>(('01_Inputs'!$C$5)*(1+('01_Inputs'!$F$49))*((('01_Inputs'!$B$49)*('01_Inputs'!$C$49)+('01_Inputs'!$C$49)*('01_Inputs'!$D$49)))*('01_Inputs'!$C$35))</x:f>
        <x:v>8589934592</x:v>
      </x:c>
      <x:c r="J21" s="69" t="n">
        <x:f>(0*'01_Inputs'!$C$5)</x:f>
        <x:v>0</x:v>
      </x:c>
      <x:c r="K21" s="69" t="n">
        <x:f>((INT((('01_Inputs'!$C$40)+('01_Inputs'!$C$6))/('01_Inputs'!$E$49))-INT(('01_Inputs'!$C$40)/('01_Inputs'!$E$49))+0*'01_Inputs'!$C$5))*((('01_Inputs'!$C$5)*(1+('01_Inputs'!$F$49))*((('01_Inputs'!$B$49)*('01_Inputs'!$C$49)+('01_Inputs'!$C$49)*('01_Inputs'!$D$49)))*('01_Inputs'!$C$35)))+0*('01_Inputs'!$C$5)</x:f>
        <x:v>8589934592</x:v>
      </x:c>
      <x:c r="L21" s="69" t="n">
        <x:f>((INT((('01_Inputs'!$C$40)+('01_Inputs'!$C$6))/('01_Inputs'!$E$49))-INT(('01_Inputs'!$C$40)/('01_Inputs'!$E$49))+0*'01_Inputs'!$C$5))*(((('01_Inputs'!$C$5)*(1+('01_Inputs'!$F$49))*((('01_Inputs'!$B$49)*('01_Inputs'!$C$49)+('01_Inputs'!$C$49)*('01_Inputs'!$D$49)))*('01_Inputs'!$C$35)))+((0*'01_Inputs'!$C$5)))+0*('01_Inputs'!$C$5)</x:f>
        <x:v>8589934592</x:v>
      </x:c>
      <x:c r="M21" s="69" t="n">
        <x:f>(0*'01_Inputs'!$C$5)</x:f>
        <x:v>0</x:v>
      </x:c>
      <x:c r="N21" s="66" t="n">
        <x:f>IF((((INT((('01_Inputs'!$C$40)+('01_Inputs'!$C$6))/('01_Inputs'!$E$49))-INT(('01_Inputs'!$C$40)/('01_Inputs'!$E$49)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)=0,"",(((INT((('01_Inputs'!$C$40)+('01_Inputs'!$C$6))/('01_Inputs'!$E$49))-INT(('01_Inputs'!$C$40)/('01_Inputs'!$E$49))+0*'01_Inputs'!$C$5))*((0*'01_Inputs'!$C$5)))/((((INT((('01_Inputs'!$C$40)+('01_Inputs'!$C$6))/('01_Inputs'!$E$49))-INT(('01_Inputs'!$C$40)/('01_Inputs'!$E$49)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))+0*('01_Inputs'!$C$5))</x:f>
        <x:v>0</x:v>
      </x:c>
      <x:c r="O21" s="66" t="n">
        <x:f>(((INT((('01_Inputs'!$C$40)+('01_Inputs'!$C$6))/('01_Inputs'!$E$49))-INT(('01_Inputs'!$C$40)/('01_Inputs'!$E$49))+0*'01_Inputs'!$C$5))*((0*'01_Inputs'!$C$5))/(('01_Inputs'!$C$31)*('02_HW'!$C$6))*('02_HW'!$C$10))</x:f>
        <x:v>0</x:v>
      </x:c>
      <x:c r="P21" s="66" t="n">
        <x:f>(((INT((('01_Inputs'!$C$40)+('01_Inputs'!$C$6))/('01_Inputs'!$E$49))-INT(('01_Inputs'!$C$40)/('01_Inputs'!$E$49)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/(('01_Inputs'!$C$32)*('02_HW'!$C$7))*('02_HW'!$C$10))</x:f>
        <x:v>5.128319159402984</x:v>
      </x:c>
      <x:c r="Q21" s="66" t="n">
        <x:f>(MAX((((INT((('01_Inputs'!$C$40)+('01_Inputs'!$C$6))/('01_Inputs'!$E$49))-INT(('01_Inputs'!$C$40)/('01_Inputs'!$E$49))+0*'01_Inputs'!$C$5))*((0*'01_Inputs'!$C$5))/(('01_Inputs'!$C$31)*('02_HW'!$C$6))*('02_HW'!$C$10)),(((INT((('01_Inputs'!$C$40)+('01_Inputs'!$C$6))/('01_Inputs'!$E$49))-INT(('01_Inputs'!$C$40)/('01_Inputs'!$E$49)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/(('01_Inputs'!$C$32)*('02_HW'!$C$7))*('02_HW'!$C$10)))+((INT((('01_Inputs'!$C$40)+('01_Inputs'!$C$6))/('01_Inputs'!$E$49))-INT(('01_Inputs'!$C$40)/('01_Inputs'!$E$49))+0*'01_Inputs'!$C$5))*('02_HW'!$C$9)*('02_HW'!$C$10))</x:f>
        <x:v>5.128319159402984</x:v>
      </x:c>
      <x:c r="R21" s="21" t="str">
        <x:f>IF(O21&gt;P21,"compute",IF(P21&gt;O21,"memory","balanced"))&amp;IF('01_Inputs'!$C$5&gt;0,"","")</x:f>
        <x:v>memory</x:v>
      </x:c>
      <x:c r="S21" s="24" t="str">
        <x:v>Boundary-count state RMW.</x:v>
      </x:c>
    </x:row>
    <x:row r="22">
      <x:c r="A22" s="21" t="n">
        <x:f>ROW()-5+0*('01_Inputs'!$C$5)</x:f>
        <x:v>17</x:v>
      </x:c>
      <x:c r="B22" s="21" t="str">
        <x:v>prefill</x:v>
      </x:c>
      <x:c r="C22" s="21" t="str">
        <x:v>titans_update</x:v>
      </x:c>
      <x:c r="D22" s="21" t="str">
        <x:v>M_eta_target_forward</x:v>
      </x:c>
      <x:c r="E22" s="24" t="str">
        <x:v>Ffwd(N)</x:v>
      </x:c>
      <x:c r="F22" s="66" t="n">
        <x:f>(1+0*'01_Inputs'!$C$5)</x:f>
        <x:v>1</x:v>
      </x:c>
      <x:c r="G22" s="69" t="n">
        <x:f>(2*((('01_Inputs'!$C$5)*('01_Inputs'!$C$6)))*((('01_Inputs'!$B$50)*('01_Inputs'!$C$50)+('01_Inputs'!$C$50)*('01_Inputs'!$D$50)))+((('01_Inputs'!$C$5)*('01_Inputs'!$C$6)))*(('01_Inputs'!$C$37)*('01_Inputs'!$C$50)+('01_Inputs'!$C$38)*('01_Inputs'!$D$50)))</x:f>
        <x:v>8799314313216</x:v>
      </x:c>
      <x:c r="H22" s="69" t="n">
        <x:f>(((((('01_Inputs'!$C$5)*('01_Inputs'!$C$6)))*('01_Inputs'!$B$50)*('01_Inputs'!$C$14)))+('01_Inputs'!$C$5)*((('01_Inputs'!$B$50)*('01_Inputs'!$C$50)+('01_Inputs'!$C$50)*('01_Inputs'!$D$50)))*('01_Inputs'!$C$35)*('01_Inputs'!$H$50))</x:f>
        <x:v>2684616704</x:v>
      </x:c>
      <x:c r="I22" s="69" t="n">
        <x:f>(0*'01_Inputs'!$C$5)</x:f>
        <x:v>0</x:v>
      </x:c>
      <x:c r="J22" s="69" t="n">
        <x:f>(((('01_Inputs'!$C$5)*('01_Inputs'!$C$6)))*('01_Inputs'!$D$50)*('01_Inputs'!$C$14))</x:f>
        <x:v>65536</x:v>
      </x:c>
      <x:c r="K22" s="69" t="n">
        <x:f>((1+0*'01_Inputs'!$C$5))*((((((('01_Inputs'!$C$5)*('01_Inputs'!$C$6)))*('01_Inputs'!$B$50)*('01_Inputs'!$C$14)))+('01_Inputs'!$C$5)*((('01_Inputs'!$B$50)*('01_Inputs'!$C$50)+('01_Inputs'!$C$50)*('01_Inputs'!$D$50)))*('01_Inputs'!$C$35)*('01_Inputs'!$H$50)))+0*('01_Inputs'!$C$5)</x:f>
        <x:v>2684616704</x:v>
      </x:c>
      <x:c r="L22" s="69" t="n">
        <x:f>((1+0*'01_Inputs'!$C$5))*(((0*'01_Inputs'!$C$5))+((((('01_Inputs'!$C$5)*('01_Inputs'!$C$6)))*('01_Inputs'!$D$50)*('01_Inputs'!$C$14))))+0*('01_Inputs'!$C$5)</x:f>
        <x:v>65536</x:v>
      </x:c>
      <x:c r="M22" s="69" t="n">
        <x:f>(0*'01_Inputs'!$C$5)</x:f>
        <x:v>0</x:v>
      </x:c>
      <x:c r="N22" s="66" t="n">
        <x:f>IF(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)=0,"",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)/(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))+0*('01_Inputs'!$C$5))</x:f>
        <x:v>3277.599926766752</x:v>
      </x:c>
      <x:c r="O22" s="66" t="n">
        <x:f>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/(('01_Inputs'!$C$31)*('02_HW'!$C$6))*('02_HW'!$C$10))</x:f>
        <x:v>8.892939176870089</x:v>
      </x:c>
      <x:c r="P22" s="66" t="n">
        <x:f>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/(('01_Inputs'!$C$32)*('02_HW'!$C$7))*('02_HW'!$C$10))</x:f>
        <x:v>0.8013976835820895</x:v>
      </x:c>
      <x:c r="Q22" s="66" t="n">
        <x:f>(MAX(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/(('01_Inputs'!$C$31)*('02_HW'!$C$6))*('02_HW'!$C$10)),(((1+0*'01_Inputs'!$C$5))*(((((((('01_Inputs'!$C$5)*('01_Inputs'!$C$6)))*('01_Inputs'!$B$50)*('01_Inputs'!$C$14)))+('01_Inputs'!$C$5)*((('01_Inputs'!$B$50)*('01_Inputs'!$C$50)+('01_Inputs'!$C$50)*('01_Inputs'!$D$50)))*('01_Inputs'!$C$35)*('01_Inputs'!$H$50)))+((0*'01_Inputs'!$C$5))+((((('01_Inputs'!$C$5)*('01_Inputs'!$C$6)))*('01_Inputs'!$D$50)*('01_Inputs'!$C$14))))/(('01_Inputs'!$C$32)*('02_HW'!$C$7))*('02_HW'!$C$10)))+((1+0*'01_Inputs'!$C$5))*('02_HW'!$C$9)*('02_HW'!$C$10))</x:f>
        <x:v>8.892939176870089</x:v>
      </x:c>
      <x:c r="R22" s="21" t="str">
        <x:f>IF(O22&gt;P22,"compute",IF(P22&gt;O22,"memory","balanced"))&amp;IF('01_Inputs'!$C$5&gt;0,"","")</x:f>
        <x:v>compute</x:v>
      </x:c>
      <x:c r="S22" s="24" t="str">
        <x:v>Explicit self-target term.</x:v>
      </x:c>
    </x:row>
    <x:row r="23">
      <x:c r="A23" s="21" t="n">
        <x:f>ROW()-5+0*('01_Inputs'!$C$5)</x:f>
        <x:v>18</x:v>
      </x:c>
      <x:c r="B23" s="21" t="str">
        <x:v>prefill</x:v>
      </x:c>
      <x:c r="C23" s="21" t="str">
        <x:v>titans_update</x:v>
      </x:c>
      <x:c r="D23" s="21" t="str">
        <x:v>M_eta_prediction_forward</x:v>
      </x:c>
      <x:c r="E23" s="24" t="str">
        <x:v>Ffwd(N)</x:v>
      </x:c>
      <x:c r="F23" s="66" t="n">
        <x:f>(1+0*'01_Inputs'!$C$5)</x:f>
        <x:v>1</x:v>
      </x:c>
      <x:c r="G23" s="69" t="n">
        <x:f>(2*((('01_Inputs'!$C$5)*('01_Inputs'!$C$6)))*((('01_Inputs'!$B$50)*('01_Inputs'!$C$50)+('01_Inputs'!$C$50)*('01_Inputs'!$D$50)))+((('01_Inputs'!$C$5)*('01_Inputs'!$C$6)))*(('01_Inputs'!$C$37)*('01_Inputs'!$C$50)+('01_Inputs'!$C$38)*('01_Inputs'!$D$50)))</x:f>
        <x:v>8799314313216</x:v>
      </x:c>
      <x:c r="H23" s="69" t="n">
        <x:f>(((('01_Inputs'!$C$5)*('01_Inputs'!$C$6)))*('01_Inputs'!$B$50)*('01_Inputs'!$C$14))</x:f>
        <x:v>536870912</x:v>
      </x:c>
      <x:c r="I23" s="69" t="n">
        <x:f>(0*'01_Inputs'!$C$5)</x:f>
        <x:v>0</x:v>
      </x:c>
      <x:c r="J23" s="69" t="n">
        <x:f>(((('01_Inputs'!$C$5)*('01_Inputs'!$C$6)))*('01_Inputs'!$D$50)*('01_Inputs'!$C$14))</x:f>
        <x:v>65536</x:v>
      </x:c>
      <x:c r="K23" s="69" t="n">
        <x:f>((1+0*'01_Inputs'!$C$5))*((((('01_Inputs'!$C$5)*('01_Inputs'!$C$6)))*('01_Inputs'!$B$50)*('01_Inputs'!$C$14)))+0*('01_Inputs'!$C$5)</x:f>
        <x:v>536870912</x:v>
      </x:c>
      <x:c r="L23" s="69" t="n">
        <x:f>((1+0*'01_Inputs'!$C$5))*(((0*'01_Inputs'!$C$5))+((((('01_Inputs'!$C$5)*('01_Inputs'!$C$6)))*('01_Inputs'!$D$50)*('01_Inputs'!$C$14))))+0*('01_Inputs'!$C$5)</x:f>
        <x:v>65536</x:v>
      </x:c>
      <x:c r="M23" s="69" t="n">
        <x:f>(0*'01_Inputs'!$C$5)</x:f>
        <x:v>0</x:v>
      </x:c>
      <x:c r="N23" s="66" t="n">
        <x:f>IF((((1+0*'01_Inputs'!$C$5))*(((((('01_Inputs'!$C$5)*('01_Inputs'!$C$6)))*('01_Inputs'!$B$50)*('01_Inputs'!$C$14)))+((0*'01_Inputs'!$C$5))+((((('01_Inputs'!$C$5)*('01_Inputs'!$C$6)))*('01_Inputs'!$D$50)*('01_Inputs'!$C$14)))))=0,"",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)/((((1+0*'01_Inputs'!$C$5))*(((((('01_Inputs'!$C$5)*('01_Inputs'!$C$6)))*('01_Inputs'!$B$50)*('01_Inputs'!$C$14)))+((0*'01_Inputs'!$C$5))+((((('01_Inputs'!$C$5)*('01_Inputs'!$C$6)))*('01_Inputs'!$D$50)*('01_Inputs'!$C$14))))))+0*('01_Inputs'!$C$5))</x:f>
        <x:v>16387.999633833762</x:v>
      </x:c>
      <x:c r="O23" s="66" t="n">
        <x:f>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/(('01_Inputs'!$C$31)*('02_HW'!$C$6))*('02_HW'!$C$10))</x:f>
        <x:v>8.892939176870089</x:v>
      </x:c>
      <x:c r="P23" s="66" t="n">
        <x:f>(((1+0*'01_Inputs'!$C$5))*(((((('01_Inputs'!$C$5)*('01_Inputs'!$C$6)))*('01_Inputs'!$B$50)*('01_Inputs'!$C$14)))+((0*'01_Inputs'!$C$5))+((((('01_Inputs'!$C$5)*('01_Inputs'!$C$6)))*('01_Inputs'!$D$50)*('01_Inputs'!$C$14))))/(('01_Inputs'!$C$32)*('02_HW'!$C$7))*('02_HW'!$C$10))</x:f>
        <x:v>0.1602795367164179</x:v>
      </x:c>
      <x:c r="Q23" s="66" t="n">
        <x:f>(MAX((((1+0*'01_Inputs'!$C$5))*((2*((('01_Inputs'!$C$5)*('01_Inputs'!$C$6)))*((('01_Inputs'!$B$50)*('01_Inputs'!$C$50)+('01_Inputs'!$C$50)*('01_Inputs'!$D$50)))+((('01_Inputs'!$C$5)*('01_Inputs'!$C$6)))*(('01_Inputs'!$C$37)*('01_Inputs'!$C$50)+('01_Inputs'!$C$38)*('01_Inputs'!$D$50))))/(('01_Inputs'!$C$31)*('02_HW'!$C$6))*('02_HW'!$C$10)),(((1+0*'01_Inputs'!$C$5))*(((((('01_Inputs'!$C$5)*('01_Inputs'!$C$6)))*('01_Inputs'!$B$50)*('01_Inputs'!$C$14)))+((0*'01_Inputs'!$C$5))+((((('01_Inputs'!$C$5)*('01_Inputs'!$C$6)))*('01_Inputs'!$D$50)*('01_Inputs'!$C$14))))/(('01_Inputs'!$C$32)*('02_HW'!$C$7))*('02_HW'!$C$10)))+((1+0*'01_Inputs'!$C$5))*('02_HW'!$C$9)*('02_HW'!$C$10))</x:f>
        <x:v>8.892939176870089</x:v>
      </x:c>
      <x:c r="R23" s="21" t="str">
        <x:f>IF(O23&gt;P23,"compute",IF(P23&gt;O23,"memory","balanced"))&amp;IF('01_Inputs'!$C$5&gt;0,"","")</x:f>
        <x:v>compute</x:v>
      </x:c>
      <x:c r="S23" s="24" t="str">
        <x:v>Explicit prediction term.</x:v>
      </x:c>
    </x:row>
    <x:row r="24">
      <x:c r="A24" s="21" t="n">
        <x:f>ROW()-5+0*('01_Inputs'!$C$5)</x:f>
        <x:v>19</x:v>
      </x:c>
      <x:c r="B24" s="21" t="str">
        <x:v>prefill</x:v>
      </x:c>
      <x:c r="C24" s="21" t="str">
        <x:v>titans_update</x:v>
      </x:c>
      <x:c r="D24" s="21" t="str">
        <x:v>M_eta_weight_backward</x:v>
      </x:c>
      <x:c r="E24" s="24" t="str">
        <x:v>2NIH + 4NHO</x:v>
      </x:c>
      <x:c r="F24" s="66" t="n">
        <x:f>(1+0*'01_Inputs'!$C$5)</x:f>
        <x:v>1</x:v>
      </x:c>
      <x:c r="G24" s="69" t="n">
        <x:f>(2*((('01_Inputs'!$C$5)*('01_Inputs'!$C$6)))*('01_Inputs'!$B$50)*('01_Inputs'!$C$50)+4*((('01_Inputs'!$C$5)*('01_Inputs'!$C$6)))*('01_Inputs'!$C$50)*('01_Inputs'!$D$50))</x:f>
        <x:v>8798240505856</x:v>
      </x:c>
      <x:c r="H24" s="69" t="n">
        <x:f>(((('01_Inputs'!$C$5)*('01_Inputs'!$C$6)))*(('01_Inputs'!$B$50)+('01_Inputs'!$C$50)+('01_Inputs'!$D$50))*('01_Inputs'!$C$14))</x:f>
        <x:v>1073807360</x:v>
      </x:c>
      <x:c r="I24" s="69" t="n">
        <x:f>(0*'01_Inputs'!$C$5)</x:f>
        <x:v>0</x:v>
      </x:c>
      <x:c r="J24" s="69" t="n">
        <x:f>(('01_Inputs'!$C$5)*((('01_Inputs'!$B$50)*('01_Inputs'!$C$50)+('01_Inputs'!$C$50)*('01_Inputs'!$D$50)))*('01_Inputs'!$C$36))</x:f>
        <x:v>8590983168</x:v>
      </x:c>
      <x:c r="K24" s="69" t="n">
        <x:f>((1+0*'01_Inputs'!$C$5))*((((('01_Inputs'!$C$5)*('01_Inputs'!$C$6)))*(('01_Inputs'!$B$50)+('01_Inputs'!$C$50)+('01_Inputs'!$D$50))*('01_Inputs'!$C$14)))+0*('01_Inputs'!$C$5)</x:f>
        <x:v>1073807360</x:v>
      </x:c>
      <x:c r="L24" s="69" t="n">
        <x:f>((1+0*'01_Inputs'!$C$5))*(((0*'01_Inputs'!$C$5))+((('01_Inputs'!$C$5)*((('01_Inputs'!$B$50)*('01_Inputs'!$C$50)+('01_Inputs'!$C$50)*('01_Inputs'!$D$50)))*('01_Inputs'!$C$36))))+0*('01_Inputs'!$C$5)</x:f>
        <x:v>8590983168</x:v>
      </x:c>
      <x:c r="M24" s="69" t="n">
        <x:f>(0*'01_Inputs'!$C$5)</x:f>
        <x:v>0</x:v>
      </x:c>
      <x:c r="N24" s="66" t="n">
        <x:f>IF((((1+0*'01_Inputs'!$C$5))*(((((('01_Inputs'!$C$5)*('01_Inputs'!$C$6)))*(('01_Inputs'!$B$50)+('01_Inputs'!$C$50)+('01_Inputs'!$D$50))*('01_Inputs'!$C$14)))+((0*'01_Inputs'!$C$5))+((('01_Inputs'!$C$5)*((('01_Inputs'!$B$50)*('01_Inputs'!$C$50)+('01_Inputs'!$C$50)*('01_Inputs'!$D$50)))*('01_Inputs'!$C$36)))))=0,"",(((1+0*'01_Inputs'!$C$5))*((2*((('01_Inputs'!$C$5)*('01_Inputs'!$C$6)))*('01_Inputs'!$B$50)*('01_Inputs'!$C$50)+4*((('01_Inputs'!$C$5)*('01_Inputs'!$C$6)))*('01_Inputs'!$C$50)*('01_Inputs'!$D$50))))/((((1+0*'01_Inputs'!$C$5))*(((((('01_Inputs'!$C$5)*('01_Inputs'!$C$6)))*(('01_Inputs'!$B$50)+('01_Inputs'!$C$50)+('01_Inputs'!$D$50))*('01_Inputs'!$C$14)))+((0*'01_Inputs'!$C$5))+((('01_Inputs'!$C$5)*((('01_Inputs'!$B$50)*('01_Inputs'!$C$50)+('01_Inputs'!$C$50)*('01_Inputs'!$D$50)))*('01_Inputs'!$C$36))))))+0*('01_Inputs'!$C$5))</x:f>
        <x:v>910.3394926528924</x:v>
      </x:c>
      <x:c r="O24" s="66" t="n">
        <x:f>(((1+0*'01_Inputs'!$C$5))*((2*((('01_Inputs'!$C$5)*('01_Inputs'!$C$6)))*('01_Inputs'!$B$50)*('01_Inputs'!$C$50)+4*((('01_Inputs'!$C$5)*('01_Inputs'!$C$6)))*('01_Inputs'!$C$50)*('01_Inputs'!$D$50)))/(('01_Inputs'!$C$31)*('02_HW'!$C$6))*('02_HW'!$C$10))</x:f>
        <x:v>8.891853944180331</x:v>
      </x:c>
      <x:c r="P24" s="66" t="n">
        <x:f>(((1+0*'01_Inputs'!$C$5))*(((((('01_Inputs'!$C$5)*('01_Inputs'!$C$6)))*(('01_Inputs'!$B$50)+('01_Inputs'!$C$50)+('01_Inputs'!$D$50))*('01_Inputs'!$C$14)))+((0*'01_Inputs'!$C$5))+((('01_Inputs'!$C$5)*((('01_Inputs'!$B$50)*('01_Inputs'!$C$50)+('01_Inputs'!$C$50)*('01_Inputs'!$D$50)))*('01_Inputs'!$C$36))))/(('01_Inputs'!$C$32)*('02_HW'!$C$7))*('02_HW'!$C$10))</x:f>
        <x:v>2.885012097910448</x:v>
      </x:c>
      <x:c r="Q24" s="66" t="n">
        <x:f>(MAX((((1+0*'01_Inputs'!$C$5))*((2*((('01_Inputs'!$C$5)*('01_Inputs'!$C$6)))*('01_Inputs'!$B$50)*('01_Inputs'!$C$50)+4*((('01_Inputs'!$C$5)*('01_Inputs'!$C$6)))*('01_Inputs'!$C$50)*('01_Inputs'!$D$50)))/(('01_Inputs'!$C$31)*('02_HW'!$C$6))*('02_HW'!$C$10)),(((1+0*'01_Inputs'!$C$5))*(((((('01_Inputs'!$C$5)*('01_Inputs'!$C$6)))*(('01_Inputs'!$B$50)+('01_Inputs'!$C$50)+('01_Inputs'!$D$50))*('01_Inputs'!$C$14)))+((0*'01_Inputs'!$C$5))+((('01_Inputs'!$C$5)*((('01_Inputs'!$B$50)*('01_Inputs'!$C$50)+('01_Inputs'!$C$50)*('01_Inputs'!$D$50)))*('01_Inputs'!$C$36))))/(('01_Inputs'!$C$32)*('02_HW'!$C$7))*('02_HW'!$C$10)))+((1+0*'01_Inputs'!$C$5))*('02_HW'!$C$9)*('02_HW'!$C$10))</x:f>
        <x:v>8.891853944180331</x:v>
      </x:c>
      <x:c r="R24" s="21" t="str">
        <x:f>IF(O24&gt;P24,"compute",IF(P24&gt;O24,"memory","balanced"))&amp;IF('01_Inputs'!$C$5&gt;0,"","")</x:f>
        <x:v>compute</x:v>
      </x:c>
      <x:c r="S24" s="24" t="str">
        <x:v>Weight-gradient backward; no input gradient.</x:v>
      </x:c>
    </x:row>
    <x:row r="25">
      <x:c r="A25" s="21" t="n">
        <x:f>ROW()-5+0*('01_Inputs'!$C$5)</x:f>
        <x:v>20</x:v>
      </x:c>
      <x:c r="B25" s="21" t="str">
        <x:v>prefill</x:v>
      </x:c>
      <x:c r="C25" s="21" t="str">
        <x:v>titans_update</x:v>
      </x:c>
      <x:c r="D25" s="21" t="str">
        <x:v>M_eta_dgd_extra</x:v>
      </x:c>
      <x:c r="E25" s="24" t="str">
        <x:v>μFfwd − (2Ffwd+Fbwd)</x:v>
      </x:c>
      <x:c r="F25" s="66" t="n">
        <x:f>(1+0*'01_Inputs'!$C$5)</x:f>
        <x:v>1</x:v>
      </x:c>
      <x:c r="G25" s="69" t="n">
        <x:f>(('01_Inputs'!$G$50)*((2*((('01_Inputs'!$C$5)*('01_Inputs'!$C$6)))*((('01_Inputs'!$B$50)*('01_Inputs'!$C$50)+('01_Inputs'!$C$50)*('01_Inputs'!$D$50)))+((('01_Inputs'!$C$5)*('01_Inputs'!$C$6)))*(('01_Inputs'!$C$37)*('01_Inputs'!$C$50)+('01_Inputs'!$C$38)*('01_Inputs'!$D$50))))-(2*((2*((('01_Inputs'!$C$5)*('01_Inputs'!$C$6)))*((('01_Inputs'!$B$50)*('01_Inputs'!$C$50)+('01_Inputs'!$C$50)*('01_Inputs'!$D$50)))+((('01_Inputs'!$C$5)*('01_Inputs'!$C$6)))*(('01_Inputs'!$C$37)*('01_Inputs'!$C$50)+('01_Inputs'!$C$38)*('01_Inputs'!$D$50))))+((2*((('01_Inputs'!$C$5)*('01_Inputs'!$C$6)))*('01_Inputs'!$B$50)*('01_Inputs'!$C$50)+4*((('01_Inputs'!$C$5)*('01_Inputs'!$C$6)))*('01_Inputs'!$C$50)*('01_Inputs'!$D$50)))))</x:f>
        <x:v>8800388120576</x:v>
      </x:c>
      <x:c r="H25" s="69" t="n">
        <x:f>(('01_Inputs'!$C$5)*((('01_Inputs'!$B$50)*('01_Inputs'!$C$50)+('01_Inputs'!$C$50)*('01_Inputs'!$D$50)))*('01_Inputs'!$C$36))</x:f>
        <x:v>8590983168</x:v>
      </x:c>
      <x:c r="I25" s="69" t="n">
        <x:f>(0*'01_Inputs'!$C$5)</x:f>
        <x:v>0</x:v>
      </x:c>
      <x:c r="J25" s="69" t="n">
        <x:f>(('01_Inputs'!$C$5)*((('01_Inputs'!$B$50)*('01_Inputs'!$C$50)+('01_Inputs'!$C$50)*('01_Inputs'!$D$50)))*('01_Inputs'!$C$36))</x:f>
        <x:v>8590983168</x:v>
      </x:c>
      <x:c r="K25" s="69" t="n">
        <x:f>((1+0*'01_Inputs'!$C$5))*((('01_Inputs'!$C$5)*((('01_Inputs'!$B$50)*('01_Inputs'!$C$50)+('01_Inputs'!$C$50)*('01_Inputs'!$D$50)))*('01_Inputs'!$C$36)))+0*('01_Inputs'!$C$5)</x:f>
        <x:v>8590983168</x:v>
      </x:c>
      <x:c r="L25" s="69" t="n">
        <x:f>((1+0*'01_Inputs'!$C$5))*(((0*'01_Inputs'!$C$5))+((('01_Inputs'!$C$5)*((('01_Inputs'!$B$50)*('01_Inputs'!$C$50)+('01_Inputs'!$C$50)*('01_Inputs'!$D$50)))*('01_Inputs'!$C$36))))+0*('01_Inputs'!$C$5)</x:f>
        <x:v>8590983168</x:v>
      </x:c>
      <x:c r="M25" s="69" t="n">
        <x:f>(0*'01_Inputs'!$C$5)</x:f>
        <x:v>0</x:v>
      </x:c>
      <x:c r="N25" s="66" t="n">
        <x:f>IF(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)=0,"",(((1+0*'01_Inputs'!$C$5))*((('01_Inputs'!$G$50)*((2*((('01_Inputs'!$C$5)*('01_Inputs'!$C$6)))*((('01_Inputs'!$B$50)*('01_Inputs'!$C$50)+('01_Inputs'!$C$50)*('01_Inputs'!$D$50)))+((('01_Inputs'!$C$5)*('01_Inputs'!$C$6)))*(('01_Inputs'!$C$37)*('01_Inputs'!$C$50)+('01_Inputs'!$C$38)*('01_Inputs'!$D$50))))-(2*((2*((('01_Inputs'!$C$5)*('01_Inputs'!$C$6)))*((('01_Inputs'!$B$50)*('01_Inputs'!$C$50)+('01_Inputs'!$C$50)*('01_Inputs'!$D$50)))+((('01_Inputs'!$C$5)*('01_Inputs'!$C$6)))*(('01_Inputs'!$C$37)*('01_Inputs'!$C$50)+('01_Inputs'!$C$38)*('01_Inputs'!$D$50))))+((2*((('01_Inputs'!$C$5)*('01_Inputs'!$C$6)))*('01_Inputs'!$B$50)*('01_Inputs'!$C$50)+4*((('01_Inputs'!$C$5)*('01_Inputs'!$C$6)))*('01_Inputs'!$C$50)*('01_Inputs'!$D$50)))))))/(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))+0*('01_Inputs'!$C$5))</x:f>
        <x:v>512.1874847430734</x:v>
      </x:c>
      <x:c r="O25" s="66" t="n">
        <x:f>(((1+0*'01_Inputs'!$C$5))*((('01_Inputs'!$G$50)*((2*((('01_Inputs'!$C$5)*('01_Inputs'!$C$6)))*((('01_Inputs'!$B$50)*('01_Inputs'!$C$50)+('01_Inputs'!$C$50)*('01_Inputs'!$D$50)))+((('01_Inputs'!$C$5)*('01_Inputs'!$C$6)))*(('01_Inputs'!$C$37)*('01_Inputs'!$C$50)+('01_Inputs'!$C$38)*('01_Inputs'!$D$50))))-(2*((2*((('01_Inputs'!$C$5)*('01_Inputs'!$C$6)))*((('01_Inputs'!$B$50)*('01_Inputs'!$C$50)+('01_Inputs'!$C$50)*('01_Inputs'!$D$50)))+((('01_Inputs'!$C$5)*('01_Inputs'!$C$6)))*(('01_Inputs'!$C$37)*('01_Inputs'!$C$50)+('01_Inputs'!$C$38)*('01_Inputs'!$D$50))))+((2*((('01_Inputs'!$C$5)*('01_Inputs'!$C$6)))*('01_Inputs'!$B$50)*('01_Inputs'!$C$50)+4*((('01_Inputs'!$C$5)*('01_Inputs'!$C$6)))*('01_Inputs'!$C$50)*('01_Inputs'!$D$50))))))/(('01_Inputs'!$C$31)*('02_HW'!$C$6))*('02_HW'!$C$10))</x:f>
        <x:v>8.894024409559847</x:v>
      </x:c>
      <x:c r="P25" s="66" t="n">
        <x:f>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/(('01_Inputs'!$C$32)*('02_HW'!$C$7))*('02_HW'!$C$10))</x:f>
        <x:v>5.128945174925373</x:v>
      </x:c>
      <x:c r="Q25" s="66" t="n">
        <x:f>(MAX((((1+0*'01_Inputs'!$C$5))*((('01_Inputs'!$G$50)*((2*((('01_Inputs'!$C$5)*('01_Inputs'!$C$6)))*((('01_Inputs'!$B$50)*('01_Inputs'!$C$50)+('01_Inputs'!$C$50)*('01_Inputs'!$D$50)))+((('01_Inputs'!$C$5)*('01_Inputs'!$C$6)))*(('01_Inputs'!$C$37)*('01_Inputs'!$C$50)+('01_Inputs'!$C$38)*('01_Inputs'!$D$50))))-(2*((2*((('01_Inputs'!$C$5)*('01_Inputs'!$C$6)))*((('01_Inputs'!$B$50)*('01_Inputs'!$C$50)+('01_Inputs'!$C$50)*('01_Inputs'!$D$50)))+((('01_Inputs'!$C$5)*('01_Inputs'!$C$6)))*(('01_Inputs'!$C$37)*('01_Inputs'!$C$50)+('01_Inputs'!$C$38)*('01_Inputs'!$D$50))))+((2*((('01_Inputs'!$C$5)*('01_Inputs'!$C$6)))*('01_Inputs'!$B$50)*('01_Inputs'!$C$50)+4*((('01_Inputs'!$C$5)*('01_Inputs'!$C$6)))*('01_Inputs'!$C$50)*('01_Inputs'!$D$50))))))/(('01_Inputs'!$C$31)*('02_HW'!$C$6))*('02_HW'!$C$10)),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/(('01_Inputs'!$C$32)*('02_HW'!$C$7))*('02_HW'!$C$10)))+((1+0*'01_Inputs'!$C$5))*('02_HW'!$C$9)*('02_HW'!$C$10))</x:f>
        <x:v>8.894024409559847</x:v>
      </x:c>
      <x:c r="R25" s="21" t="str">
        <x:f>IF(O25&gt;P25,"compute",IF(P25&gt;O25,"memory","balanced"))&amp;IF('01_Inputs'!$C$5&gt;0,"","")</x:f>
        <x:v>compute</x:v>
      </x:c>
      <x:c r="S25" s="24" t="str">
        <x:v>Residual DGD calibration.</x:v>
      </x:c>
    </x:row>
    <x:row r="26">
      <x:c r="A26" s="21" t="n">
        <x:f>ROW()-5+0*('01_Inputs'!$C$5)</x:f>
        <x:v>21</x:v>
      </x:c>
      <x:c r="B26" s="21" t="str">
        <x:v>prefill</x:v>
      </x:c>
      <x:c r="C26" s="21" t="str">
        <x:v>titans_update</x:v>
      </x:c>
      <x:c r="D26" s="21" t="str">
        <x:v>M_eta_state_apply</x:v>
      </x:c>
      <x:c r="E26" s="24" t="str">
        <x:v>B(1+m)Pbs read + write</x:v>
      </x:c>
      <x:c r="F26" s="66" t="n">
        <x:f>(INT((('01_Inputs'!$C$40)+('01_Inputs'!$C$6))/('01_Inputs'!$E$50))-INT(('01_Inputs'!$C$40)/('01_Inputs'!$E$50))+0*'01_Inputs'!$C$5)</x:f>
        <x:v>1</x:v>
      </x:c>
      <x:c r="G26" s="69" t="n">
        <x:f>(0*'01_Inputs'!$C$5)</x:f>
        <x:v>0</x:v>
      </x:c>
      <x:c r="H26" s="69" t="n">
        <x:f>(('01_Inputs'!$C$5)*(1+('01_Inputs'!$F$50))*((('01_Inputs'!$B$50)*('01_Inputs'!$C$50)+('01_Inputs'!$C$50)*('01_Inputs'!$D$50)))*('01_Inputs'!$C$35))</x:f>
        <x:v>4295491584</x:v>
      </x:c>
      <x:c r="I26" s="69" t="n">
        <x:f>(('01_Inputs'!$C$5)*(1+('01_Inputs'!$F$50))*((('01_Inputs'!$B$50)*('01_Inputs'!$C$50)+('01_Inputs'!$C$50)*('01_Inputs'!$D$50)))*('01_Inputs'!$C$35))</x:f>
        <x:v>4295491584</x:v>
      </x:c>
      <x:c r="J26" s="69" t="n">
        <x:f>(0*'01_Inputs'!$C$5)</x:f>
        <x:v>0</x:v>
      </x:c>
      <x:c r="K26" s="69" t="n">
        <x:f>((INT((('01_Inputs'!$C$40)+('01_Inputs'!$C$6))/('01_Inputs'!$E$50))-INT(('01_Inputs'!$C$40)/('01_Inputs'!$E$50))+0*'01_Inputs'!$C$5))*((('01_Inputs'!$C$5)*(1+('01_Inputs'!$F$50))*((('01_Inputs'!$B$50)*('01_Inputs'!$C$50)+('01_Inputs'!$C$50)*('01_Inputs'!$D$50)))*('01_Inputs'!$C$35)))+0*('01_Inputs'!$C$5)</x:f>
        <x:v>4295491584</x:v>
      </x:c>
      <x:c r="L26" s="69" t="n">
        <x:f>((INT((('01_Inputs'!$C$40)+('01_Inputs'!$C$6))/('01_Inputs'!$E$50))-INT(('01_Inputs'!$C$40)/('01_Inputs'!$E$50))+0*'01_Inputs'!$C$5))*(((('01_Inputs'!$C$5)*(1+('01_Inputs'!$F$50))*((('01_Inputs'!$B$50)*('01_Inputs'!$C$50)+('01_Inputs'!$C$50)*('01_Inputs'!$D$50)))*('01_Inputs'!$C$35)))+((0*'01_Inputs'!$C$5)))+0*('01_Inputs'!$C$5)</x:f>
        <x:v>4295491584</x:v>
      </x:c>
      <x:c r="M26" s="69" t="n">
        <x:f>(0*'01_Inputs'!$C$5)</x:f>
        <x:v>0</x:v>
      </x:c>
      <x:c r="N26" s="66" t="n">
        <x:f>IF((((INT((('01_Inputs'!$C$40)+('01_Inputs'!$C$6))/('01_Inputs'!$E$50))-INT(('01_Inputs'!$C$40)/('01_Inputs'!$E$50)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)=0,"",(((INT((('01_Inputs'!$C$40)+('01_Inputs'!$C$6))/('01_Inputs'!$E$50))-INT(('01_Inputs'!$C$40)/('01_Inputs'!$E$50))+0*'01_Inputs'!$C$5))*((0*'01_Inputs'!$C$5)))/((((INT((('01_Inputs'!$C$40)+('01_Inputs'!$C$6))/('01_Inputs'!$E$50))-INT(('01_Inputs'!$C$40)/('01_Inputs'!$E$50)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))+0*('01_Inputs'!$C$5))</x:f>
        <x:v>0</x:v>
      </x:c>
      <x:c r="O26" s="66" t="n">
        <x:f>(((INT((('01_Inputs'!$C$40)+('01_Inputs'!$C$6))/('01_Inputs'!$E$50))-INT(('01_Inputs'!$C$40)/('01_Inputs'!$E$50))+0*'01_Inputs'!$C$5))*((0*'01_Inputs'!$C$5))/(('01_Inputs'!$C$31)*('02_HW'!$C$6))*('02_HW'!$C$10))</x:f>
        <x:v>0</x:v>
      </x:c>
      <x:c r="P26" s="66" t="n">
        <x:f>(((INT((('01_Inputs'!$C$40)+('01_Inputs'!$C$6))/('01_Inputs'!$E$50))-INT(('01_Inputs'!$C$40)/('01_Inputs'!$E$50)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/(('01_Inputs'!$C$32)*('02_HW'!$C$7))*('02_HW'!$C$10))</x:f>
        <x:v>2.5644725874626864</x:v>
      </x:c>
      <x:c r="Q26" s="66" t="n">
        <x:f>(MAX((((INT((('01_Inputs'!$C$40)+('01_Inputs'!$C$6))/('01_Inputs'!$E$50))-INT(('01_Inputs'!$C$40)/('01_Inputs'!$E$50))+0*'01_Inputs'!$C$5))*((0*'01_Inputs'!$C$5))/(('01_Inputs'!$C$31)*('02_HW'!$C$6))*('02_HW'!$C$10)),(((INT((('01_Inputs'!$C$40)+('01_Inputs'!$C$6))/('01_Inputs'!$E$50))-INT(('01_Inputs'!$C$40)/('01_Inputs'!$E$50)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/(('01_Inputs'!$C$32)*('02_HW'!$C$7))*('02_HW'!$C$10)))+((INT((('01_Inputs'!$C$40)+('01_Inputs'!$C$6))/('01_Inputs'!$E$50))-INT(('01_Inputs'!$C$40)/('01_Inputs'!$E$50))+0*'01_Inputs'!$C$5))*('02_HW'!$C$9)*('02_HW'!$C$10))</x:f>
        <x:v>2.5644725874626864</x:v>
      </x:c>
      <x:c r="R26" s="21" t="str">
        <x:f>IF(O26&gt;P26,"compute",IF(P26&gt;O26,"memory","balanced"))&amp;IF('01_Inputs'!$C$5&gt;0,"","")</x:f>
        <x:v>memory</x:v>
      </x:c>
      <x:c r="S26" s="24" t="str">
        <x:v>Boundary-count state RMW.</x:v>
      </x:c>
    </x:row>
    <x:row r="27">
      <x:c r="A27" s="21" t="n">
        <x:f>ROW()-5+0*('01_Inputs'!$C$5)</x:f>
        <x:v>22</x:v>
      </x:c>
      <x:c r="B27" s="21" t="str">
        <x:v>prefill</x:v>
      </x:c>
      <x:c r="C27" s="21" t="str">
        <x:v>titans_update</x:v>
      </x:c>
      <x:c r="D27" s="21" t="str">
        <x:v>M_alpha_target_forward</x:v>
      </x:c>
      <x:c r="E27" s="24" t="str">
        <x:v>Ffwd(N)</x:v>
      </x:c>
      <x:c r="F27" s="66" t="n">
        <x:f>(1+0*'01_Inputs'!$C$5)</x:f>
        <x:v>1</x:v>
      </x:c>
      <x:c r="G27" s="69" t="n">
        <x:f>(2*((('01_Inputs'!$C$5)*('01_Inputs'!$C$6)))*((('01_Inputs'!$B$51)*('01_Inputs'!$C$51)+('01_Inputs'!$C$51)*('01_Inputs'!$D$51)))+((('01_Inputs'!$C$5)*('01_Inputs'!$C$6)))*(('01_Inputs'!$C$37)*('01_Inputs'!$C$51)+('01_Inputs'!$C$38)*('01_Inputs'!$D$51)))</x:f>
        <x:v>8799314313216</x:v>
      </x:c>
      <x:c r="H27" s="69" t="n">
        <x:f>(((((('01_Inputs'!$C$5)*('01_Inputs'!$C$6)))*('01_Inputs'!$B$51)*('01_Inputs'!$C$14)))+('01_Inputs'!$C$5)*((('01_Inputs'!$B$51)*('01_Inputs'!$C$51)+('01_Inputs'!$C$51)*('01_Inputs'!$D$51)))*('01_Inputs'!$C$35)*('01_Inputs'!$H$51))</x:f>
        <x:v>2684616704</x:v>
      </x:c>
      <x:c r="I27" s="69" t="n">
        <x:f>(0*'01_Inputs'!$C$5)</x:f>
        <x:v>0</x:v>
      </x:c>
      <x:c r="J27" s="69" t="n">
        <x:f>(((('01_Inputs'!$C$5)*('01_Inputs'!$C$6)))*('01_Inputs'!$D$51)*('01_Inputs'!$C$14))</x:f>
        <x:v>65536</x:v>
      </x:c>
      <x:c r="K27" s="69" t="n">
        <x:f>((1+0*'01_Inputs'!$C$5))*((((((('01_Inputs'!$C$5)*('01_Inputs'!$C$6)))*('01_Inputs'!$B$51)*('01_Inputs'!$C$14)))+('01_Inputs'!$C$5)*((('01_Inputs'!$B$51)*('01_Inputs'!$C$51)+('01_Inputs'!$C$51)*('01_Inputs'!$D$51)))*('01_Inputs'!$C$35)*('01_Inputs'!$H$51)))+0*('01_Inputs'!$C$5)</x:f>
        <x:v>2684616704</x:v>
      </x:c>
      <x:c r="L27" s="69" t="n">
        <x:f>((1+0*'01_Inputs'!$C$5))*(((0*'01_Inputs'!$C$5))+((((('01_Inputs'!$C$5)*('01_Inputs'!$C$6)))*('01_Inputs'!$D$51)*('01_Inputs'!$C$14))))+0*('01_Inputs'!$C$5)</x:f>
        <x:v>65536</x:v>
      </x:c>
      <x:c r="M27" s="69" t="n">
        <x:f>(0*'01_Inputs'!$C$5)</x:f>
        <x:v>0</x:v>
      </x:c>
      <x:c r="N27" s="66" t="n">
        <x:f>IF(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)=0,"",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)/(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))+0*('01_Inputs'!$C$5))</x:f>
        <x:v>3277.599926766752</x:v>
      </x:c>
      <x:c r="O27" s="66" t="n">
        <x:f>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/(('01_Inputs'!$C$31)*('02_HW'!$C$6))*('02_HW'!$C$10))</x:f>
        <x:v>8.892939176870089</x:v>
      </x:c>
      <x:c r="P27" s="66" t="n">
        <x:f>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/(('01_Inputs'!$C$32)*('02_HW'!$C$7))*('02_HW'!$C$10))</x:f>
        <x:v>0.8013976835820895</x:v>
      </x:c>
      <x:c r="Q27" s="66" t="n">
        <x:f>(MAX(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/(('01_Inputs'!$C$31)*('02_HW'!$C$6))*('02_HW'!$C$10)),(((1+0*'01_Inputs'!$C$5))*(((((((('01_Inputs'!$C$5)*('01_Inputs'!$C$6)))*('01_Inputs'!$B$51)*('01_Inputs'!$C$14)))+('01_Inputs'!$C$5)*((('01_Inputs'!$B$51)*('01_Inputs'!$C$51)+('01_Inputs'!$C$51)*('01_Inputs'!$D$51)))*('01_Inputs'!$C$35)*('01_Inputs'!$H$51)))+((0*'01_Inputs'!$C$5))+((((('01_Inputs'!$C$5)*('01_Inputs'!$C$6)))*('01_Inputs'!$D$51)*('01_Inputs'!$C$14))))/(('01_Inputs'!$C$32)*('02_HW'!$C$7))*('02_HW'!$C$10)))+((1+0*'01_Inputs'!$C$5))*('02_HW'!$C$9)*('02_HW'!$C$10))</x:f>
        <x:v>8.892939176870089</x:v>
      </x:c>
      <x:c r="R27" s="21" t="str">
        <x:f>IF(O27&gt;P27,"compute",IF(P27&gt;O27,"memory","balanced"))&amp;IF('01_Inputs'!$C$5&gt;0,"","")</x:f>
        <x:v>compute</x:v>
      </x:c>
      <x:c r="S27" s="24" t="str">
        <x:v>Explicit self-target term.</x:v>
      </x:c>
    </x:row>
    <x:row r="28">
      <x:c r="A28" s="21" t="n">
        <x:f>ROW()-5+0*('01_Inputs'!$C$5)</x:f>
        <x:v>23</x:v>
      </x:c>
      <x:c r="B28" s="21" t="str">
        <x:v>prefill</x:v>
      </x:c>
      <x:c r="C28" s="21" t="str">
        <x:v>titans_update</x:v>
      </x:c>
      <x:c r="D28" s="21" t="str">
        <x:v>M_alpha_prediction_forward</x:v>
      </x:c>
      <x:c r="E28" s="24" t="str">
        <x:v>Ffwd(N)</x:v>
      </x:c>
      <x:c r="F28" s="66" t="n">
        <x:f>(1+0*'01_Inputs'!$C$5)</x:f>
        <x:v>1</x:v>
      </x:c>
      <x:c r="G28" s="69" t="n">
        <x:f>(2*((('01_Inputs'!$C$5)*('01_Inputs'!$C$6)))*((('01_Inputs'!$B$51)*('01_Inputs'!$C$51)+('01_Inputs'!$C$51)*('01_Inputs'!$D$51)))+((('01_Inputs'!$C$5)*('01_Inputs'!$C$6)))*(('01_Inputs'!$C$37)*('01_Inputs'!$C$51)+('01_Inputs'!$C$38)*('01_Inputs'!$D$51)))</x:f>
        <x:v>8799314313216</x:v>
      </x:c>
      <x:c r="H28" s="69" t="n">
        <x:f>(((('01_Inputs'!$C$5)*('01_Inputs'!$C$6)))*('01_Inputs'!$B$51)*('01_Inputs'!$C$14))</x:f>
        <x:v>536870912</x:v>
      </x:c>
      <x:c r="I28" s="69" t="n">
        <x:f>(0*'01_Inputs'!$C$5)</x:f>
        <x:v>0</x:v>
      </x:c>
      <x:c r="J28" s="69" t="n">
        <x:f>(((('01_Inputs'!$C$5)*('01_Inputs'!$C$6)))*('01_Inputs'!$D$51)*('01_Inputs'!$C$14))</x:f>
        <x:v>65536</x:v>
      </x:c>
      <x:c r="K28" s="69" t="n">
        <x:f>((1+0*'01_Inputs'!$C$5))*((((('01_Inputs'!$C$5)*('01_Inputs'!$C$6)))*('01_Inputs'!$B$51)*('01_Inputs'!$C$14)))+0*('01_Inputs'!$C$5)</x:f>
        <x:v>536870912</x:v>
      </x:c>
      <x:c r="L28" s="69" t="n">
        <x:f>((1+0*'01_Inputs'!$C$5))*(((0*'01_Inputs'!$C$5))+((((('01_Inputs'!$C$5)*('01_Inputs'!$C$6)))*('01_Inputs'!$D$51)*('01_Inputs'!$C$14))))+0*('01_Inputs'!$C$5)</x:f>
        <x:v>65536</x:v>
      </x:c>
      <x:c r="M28" s="69" t="n">
        <x:f>(0*'01_Inputs'!$C$5)</x:f>
        <x:v>0</x:v>
      </x:c>
      <x:c r="N28" s="66" t="n">
        <x:f>IF((((1+0*'01_Inputs'!$C$5))*(((((('01_Inputs'!$C$5)*('01_Inputs'!$C$6)))*('01_Inputs'!$B$51)*('01_Inputs'!$C$14)))+((0*'01_Inputs'!$C$5))+((((('01_Inputs'!$C$5)*('01_Inputs'!$C$6)))*('01_Inputs'!$D$51)*('01_Inputs'!$C$14)))))=0,"",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)/((((1+0*'01_Inputs'!$C$5))*(((((('01_Inputs'!$C$5)*('01_Inputs'!$C$6)))*('01_Inputs'!$B$51)*('01_Inputs'!$C$14)))+((0*'01_Inputs'!$C$5))+((((('01_Inputs'!$C$5)*('01_Inputs'!$C$6)))*('01_Inputs'!$D$51)*('01_Inputs'!$C$14))))))+0*('01_Inputs'!$C$5))</x:f>
        <x:v>16387.999633833762</x:v>
      </x:c>
      <x:c r="O28" s="66" t="n">
        <x:f>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/(('01_Inputs'!$C$31)*('02_HW'!$C$6))*('02_HW'!$C$10))</x:f>
        <x:v>8.892939176870089</x:v>
      </x:c>
      <x:c r="P28" s="66" t="n">
        <x:f>(((1+0*'01_Inputs'!$C$5))*(((((('01_Inputs'!$C$5)*('01_Inputs'!$C$6)))*('01_Inputs'!$B$51)*('01_Inputs'!$C$14)))+((0*'01_Inputs'!$C$5))+((((('01_Inputs'!$C$5)*('01_Inputs'!$C$6)))*('01_Inputs'!$D$51)*('01_Inputs'!$C$14))))/(('01_Inputs'!$C$32)*('02_HW'!$C$7))*('02_HW'!$C$10))</x:f>
        <x:v>0.1602795367164179</x:v>
      </x:c>
      <x:c r="Q28" s="66" t="n">
        <x:f>(MAX((((1+0*'01_Inputs'!$C$5))*((2*((('01_Inputs'!$C$5)*('01_Inputs'!$C$6)))*((('01_Inputs'!$B$51)*('01_Inputs'!$C$51)+('01_Inputs'!$C$51)*('01_Inputs'!$D$51)))+((('01_Inputs'!$C$5)*('01_Inputs'!$C$6)))*(('01_Inputs'!$C$37)*('01_Inputs'!$C$51)+('01_Inputs'!$C$38)*('01_Inputs'!$D$51))))/(('01_Inputs'!$C$31)*('02_HW'!$C$6))*('02_HW'!$C$10)),(((1+0*'01_Inputs'!$C$5))*(((((('01_Inputs'!$C$5)*('01_Inputs'!$C$6)))*('01_Inputs'!$B$51)*('01_Inputs'!$C$14)))+((0*'01_Inputs'!$C$5))+((((('01_Inputs'!$C$5)*('01_Inputs'!$C$6)))*('01_Inputs'!$D$51)*('01_Inputs'!$C$14))))/(('01_Inputs'!$C$32)*('02_HW'!$C$7))*('02_HW'!$C$10)))+((1+0*'01_Inputs'!$C$5))*('02_HW'!$C$9)*('02_HW'!$C$10))</x:f>
        <x:v>8.892939176870089</x:v>
      </x:c>
      <x:c r="R28" s="21" t="str">
        <x:f>IF(O28&gt;P28,"compute",IF(P28&gt;O28,"memory","balanced"))&amp;IF('01_Inputs'!$C$5&gt;0,"","")</x:f>
        <x:v>compute</x:v>
      </x:c>
      <x:c r="S28" s="24" t="str">
        <x:v>Explicit prediction term.</x:v>
      </x:c>
    </x:row>
    <x:row r="29">
      <x:c r="A29" s="21" t="n">
        <x:f>ROW()-5+0*('01_Inputs'!$C$5)</x:f>
        <x:v>24</x:v>
      </x:c>
      <x:c r="B29" s="21" t="str">
        <x:v>prefill</x:v>
      </x:c>
      <x:c r="C29" s="21" t="str">
        <x:v>titans_update</x:v>
      </x:c>
      <x:c r="D29" s="21" t="str">
        <x:v>M_alpha_weight_backward</x:v>
      </x:c>
      <x:c r="E29" s="24" t="str">
        <x:v>2NIH + 4NHO</x:v>
      </x:c>
      <x:c r="F29" s="66" t="n">
        <x:f>(1+0*'01_Inputs'!$C$5)</x:f>
        <x:v>1</x:v>
      </x:c>
      <x:c r="G29" s="69" t="n">
        <x:f>(2*((('01_Inputs'!$C$5)*('01_Inputs'!$C$6)))*('01_Inputs'!$B$51)*('01_Inputs'!$C$51)+4*((('01_Inputs'!$C$5)*('01_Inputs'!$C$6)))*('01_Inputs'!$C$51)*('01_Inputs'!$D$51))</x:f>
        <x:v>8798240505856</x:v>
      </x:c>
      <x:c r="H29" s="69" t="n">
        <x:f>(((('01_Inputs'!$C$5)*('01_Inputs'!$C$6)))*(('01_Inputs'!$B$51)+('01_Inputs'!$C$51)+('01_Inputs'!$D$51))*('01_Inputs'!$C$14))</x:f>
        <x:v>1073807360</x:v>
      </x:c>
      <x:c r="I29" s="69" t="n">
        <x:f>(0*'01_Inputs'!$C$5)</x:f>
        <x:v>0</x:v>
      </x:c>
      <x:c r="J29" s="69" t="n">
        <x:f>(('01_Inputs'!$C$5)*((('01_Inputs'!$B$51)*('01_Inputs'!$C$51)+('01_Inputs'!$C$51)*('01_Inputs'!$D$51)))*('01_Inputs'!$C$36))</x:f>
        <x:v>8590983168</x:v>
      </x:c>
      <x:c r="K29" s="69" t="n">
        <x:f>((1+0*'01_Inputs'!$C$5))*((((('01_Inputs'!$C$5)*('01_Inputs'!$C$6)))*(('01_Inputs'!$B$51)+('01_Inputs'!$C$51)+('01_Inputs'!$D$51))*('01_Inputs'!$C$14)))+0*('01_Inputs'!$C$5)</x:f>
        <x:v>1073807360</x:v>
      </x:c>
      <x:c r="L29" s="69" t="n">
        <x:f>((1+0*'01_Inputs'!$C$5))*(((0*'01_Inputs'!$C$5))+((('01_Inputs'!$C$5)*((('01_Inputs'!$B$51)*('01_Inputs'!$C$51)+('01_Inputs'!$C$51)*('01_Inputs'!$D$51)))*('01_Inputs'!$C$36))))+0*('01_Inputs'!$C$5)</x:f>
        <x:v>8590983168</x:v>
      </x:c>
      <x:c r="M29" s="69" t="n">
        <x:f>(0*'01_Inputs'!$C$5)</x:f>
        <x:v>0</x:v>
      </x:c>
      <x:c r="N29" s="66" t="n">
        <x:f>IF((((1+0*'01_Inputs'!$C$5))*(((((('01_Inputs'!$C$5)*('01_Inputs'!$C$6)))*(('01_Inputs'!$B$51)+('01_Inputs'!$C$51)+('01_Inputs'!$D$51))*('01_Inputs'!$C$14)))+((0*'01_Inputs'!$C$5))+((('01_Inputs'!$C$5)*((('01_Inputs'!$B$51)*('01_Inputs'!$C$51)+('01_Inputs'!$C$51)*('01_Inputs'!$D$51)))*('01_Inputs'!$C$36)))))=0,"",(((1+0*'01_Inputs'!$C$5))*((2*((('01_Inputs'!$C$5)*('01_Inputs'!$C$6)))*('01_Inputs'!$B$51)*('01_Inputs'!$C$51)+4*((('01_Inputs'!$C$5)*('01_Inputs'!$C$6)))*('01_Inputs'!$C$51)*('01_Inputs'!$D$51))))/((((1+0*'01_Inputs'!$C$5))*(((((('01_Inputs'!$C$5)*('01_Inputs'!$C$6)))*(('01_Inputs'!$B$51)+('01_Inputs'!$C$51)+('01_Inputs'!$D$51))*('01_Inputs'!$C$14)))+((0*'01_Inputs'!$C$5))+((('01_Inputs'!$C$5)*((('01_Inputs'!$B$51)*('01_Inputs'!$C$51)+('01_Inputs'!$C$51)*('01_Inputs'!$D$51)))*('01_Inputs'!$C$36))))))+0*('01_Inputs'!$C$5))</x:f>
        <x:v>910.3394926528924</x:v>
      </x:c>
      <x:c r="O29" s="66" t="n">
        <x:f>(((1+0*'01_Inputs'!$C$5))*((2*((('01_Inputs'!$C$5)*('01_Inputs'!$C$6)))*('01_Inputs'!$B$51)*('01_Inputs'!$C$51)+4*((('01_Inputs'!$C$5)*('01_Inputs'!$C$6)))*('01_Inputs'!$C$51)*('01_Inputs'!$D$51)))/(('01_Inputs'!$C$31)*('02_HW'!$C$6))*('02_HW'!$C$10))</x:f>
        <x:v>8.891853944180331</x:v>
      </x:c>
      <x:c r="P29" s="66" t="n">
        <x:f>(((1+0*'01_Inputs'!$C$5))*(((((('01_Inputs'!$C$5)*('01_Inputs'!$C$6)))*(('01_Inputs'!$B$51)+('01_Inputs'!$C$51)+('01_Inputs'!$D$51))*('01_Inputs'!$C$14)))+((0*'01_Inputs'!$C$5))+((('01_Inputs'!$C$5)*((('01_Inputs'!$B$51)*('01_Inputs'!$C$51)+('01_Inputs'!$C$51)*('01_Inputs'!$D$51)))*('01_Inputs'!$C$36))))/(('01_Inputs'!$C$32)*('02_HW'!$C$7))*('02_HW'!$C$10))</x:f>
        <x:v>2.885012097910448</x:v>
      </x:c>
      <x:c r="Q29" s="66" t="n">
        <x:f>(MAX((((1+0*'01_Inputs'!$C$5))*((2*((('01_Inputs'!$C$5)*('01_Inputs'!$C$6)))*('01_Inputs'!$B$51)*('01_Inputs'!$C$51)+4*((('01_Inputs'!$C$5)*('01_Inputs'!$C$6)))*('01_Inputs'!$C$51)*('01_Inputs'!$D$51)))/(('01_Inputs'!$C$31)*('02_HW'!$C$6))*('02_HW'!$C$10)),(((1+0*'01_Inputs'!$C$5))*(((((('01_Inputs'!$C$5)*('01_Inputs'!$C$6)))*(('01_Inputs'!$B$51)+('01_Inputs'!$C$51)+('01_Inputs'!$D$51))*('01_Inputs'!$C$14)))+((0*'01_Inputs'!$C$5))+((('01_Inputs'!$C$5)*((('01_Inputs'!$B$51)*('01_Inputs'!$C$51)+('01_Inputs'!$C$51)*('01_Inputs'!$D$51)))*('01_Inputs'!$C$36))))/(('01_Inputs'!$C$32)*('02_HW'!$C$7))*('02_HW'!$C$10)))+((1+0*'01_Inputs'!$C$5))*('02_HW'!$C$9)*('02_HW'!$C$10))</x:f>
        <x:v>8.891853944180331</x:v>
      </x:c>
      <x:c r="R29" s="21" t="str">
        <x:f>IF(O29&gt;P29,"compute",IF(P29&gt;O29,"memory","balanced"))&amp;IF('01_Inputs'!$C$5&gt;0,"","")</x:f>
        <x:v>compute</x:v>
      </x:c>
      <x:c r="S29" s="24" t="str">
        <x:v>Weight-gradient backward; no input gradient.</x:v>
      </x:c>
    </x:row>
    <x:row r="30">
      <x:c r="A30" s="21" t="n">
        <x:f>ROW()-5+0*('01_Inputs'!$C$5)</x:f>
        <x:v>25</x:v>
      </x:c>
      <x:c r="B30" s="21" t="str">
        <x:v>prefill</x:v>
      </x:c>
      <x:c r="C30" s="21" t="str">
        <x:v>titans_update</x:v>
      </x:c>
      <x:c r="D30" s="21" t="str">
        <x:v>M_alpha_dgd_extra</x:v>
      </x:c>
      <x:c r="E30" s="24" t="str">
        <x:v>μFfwd − (2Ffwd+Fbwd)</x:v>
      </x:c>
      <x:c r="F30" s="66" t="n">
        <x:f>(1+0*'01_Inputs'!$C$5)</x:f>
        <x:v>1</x:v>
      </x:c>
      <x:c r="G30" s="69" t="n">
        <x:f>(('01_Inputs'!$G$51)*((2*((('01_Inputs'!$C$5)*('01_Inputs'!$C$6)))*((('01_Inputs'!$B$51)*('01_Inputs'!$C$51)+('01_Inputs'!$C$51)*('01_Inputs'!$D$51)))+((('01_Inputs'!$C$5)*('01_Inputs'!$C$6)))*(('01_Inputs'!$C$37)*('01_Inputs'!$C$51)+('01_Inputs'!$C$38)*('01_Inputs'!$D$51))))-(2*((2*((('01_Inputs'!$C$5)*('01_Inputs'!$C$6)))*((('01_Inputs'!$B$51)*('01_Inputs'!$C$51)+('01_Inputs'!$C$51)*('01_Inputs'!$D$51)))+((('01_Inputs'!$C$5)*('01_Inputs'!$C$6)))*(('01_Inputs'!$C$37)*('01_Inputs'!$C$51)+('01_Inputs'!$C$38)*('01_Inputs'!$D$51))))+((2*((('01_Inputs'!$C$5)*('01_Inputs'!$C$6)))*('01_Inputs'!$B$51)*('01_Inputs'!$C$51)+4*((('01_Inputs'!$C$5)*('01_Inputs'!$C$6)))*('01_Inputs'!$C$51)*('01_Inputs'!$D$51)))))</x:f>
        <x:v>8800388120576</x:v>
      </x:c>
      <x:c r="H30" s="69" t="n">
        <x:f>(('01_Inputs'!$C$5)*((('01_Inputs'!$B$51)*('01_Inputs'!$C$51)+('01_Inputs'!$C$51)*('01_Inputs'!$D$51)))*('01_Inputs'!$C$36))</x:f>
        <x:v>8590983168</x:v>
      </x:c>
      <x:c r="I30" s="69" t="n">
        <x:f>(0*'01_Inputs'!$C$5)</x:f>
        <x:v>0</x:v>
      </x:c>
      <x:c r="J30" s="69" t="n">
        <x:f>(('01_Inputs'!$C$5)*((('01_Inputs'!$B$51)*('01_Inputs'!$C$51)+('01_Inputs'!$C$51)*('01_Inputs'!$D$51)))*('01_Inputs'!$C$36))</x:f>
        <x:v>8590983168</x:v>
      </x:c>
      <x:c r="K30" s="69" t="n">
        <x:f>((1+0*'01_Inputs'!$C$5))*((('01_Inputs'!$C$5)*((('01_Inputs'!$B$51)*('01_Inputs'!$C$51)+('01_Inputs'!$C$51)*('01_Inputs'!$D$51)))*('01_Inputs'!$C$36)))+0*('01_Inputs'!$C$5)</x:f>
        <x:v>8590983168</x:v>
      </x:c>
      <x:c r="L30" s="69" t="n">
        <x:f>((1+0*'01_Inputs'!$C$5))*(((0*'01_Inputs'!$C$5))+((('01_Inputs'!$C$5)*((('01_Inputs'!$B$51)*('01_Inputs'!$C$51)+('01_Inputs'!$C$51)*('01_Inputs'!$D$51)))*('01_Inputs'!$C$36))))+0*('01_Inputs'!$C$5)</x:f>
        <x:v>8590983168</x:v>
      </x:c>
      <x:c r="M30" s="69" t="n">
        <x:f>(0*'01_Inputs'!$C$5)</x:f>
        <x:v>0</x:v>
      </x:c>
      <x:c r="N30" s="66" t="n">
        <x:f>IF(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)=0,"",(((1+0*'01_Inputs'!$C$5))*((('01_Inputs'!$G$51)*((2*((('01_Inputs'!$C$5)*('01_Inputs'!$C$6)))*((('01_Inputs'!$B$51)*('01_Inputs'!$C$51)+('01_Inputs'!$C$51)*('01_Inputs'!$D$51)))+((('01_Inputs'!$C$5)*('01_Inputs'!$C$6)))*(('01_Inputs'!$C$37)*('01_Inputs'!$C$51)+('01_Inputs'!$C$38)*('01_Inputs'!$D$51))))-(2*((2*((('01_Inputs'!$C$5)*('01_Inputs'!$C$6)))*((('01_Inputs'!$B$51)*('01_Inputs'!$C$51)+('01_Inputs'!$C$51)*('01_Inputs'!$D$51)))+((('01_Inputs'!$C$5)*('01_Inputs'!$C$6)))*(('01_Inputs'!$C$37)*('01_Inputs'!$C$51)+('01_Inputs'!$C$38)*('01_Inputs'!$D$51))))+((2*((('01_Inputs'!$C$5)*('01_Inputs'!$C$6)))*('01_Inputs'!$B$51)*('01_Inputs'!$C$51)+4*((('01_Inputs'!$C$5)*('01_Inputs'!$C$6)))*('01_Inputs'!$C$51)*('01_Inputs'!$D$51)))))))/(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))+0*('01_Inputs'!$C$5))</x:f>
        <x:v>512.1874847430734</x:v>
      </x:c>
      <x:c r="O30" s="66" t="n">
        <x:f>(((1+0*'01_Inputs'!$C$5))*((('01_Inputs'!$G$51)*((2*((('01_Inputs'!$C$5)*('01_Inputs'!$C$6)))*((('01_Inputs'!$B$51)*('01_Inputs'!$C$51)+('01_Inputs'!$C$51)*('01_Inputs'!$D$51)))+((('01_Inputs'!$C$5)*('01_Inputs'!$C$6)))*(('01_Inputs'!$C$37)*('01_Inputs'!$C$51)+('01_Inputs'!$C$38)*('01_Inputs'!$D$51))))-(2*((2*((('01_Inputs'!$C$5)*('01_Inputs'!$C$6)))*((('01_Inputs'!$B$51)*('01_Inputs'!$C$51)+('01_Inputs'!$C$51)*('01_Inputs'!$D$51)))+((('01_Inputs'!$C$5)*('01_Inputs'!$C$6)))*(('01_Inputs'!$C$37)*('01_Inputs'!$C$51)+('01_Inputs'!$C$38)*('01_Inputs'!$D$51))))+((2*((('01_Inputs'!$C$5)*('01_Inputs'!$C$6)))*('01_Inputs'!$B$51)*('01_Inputs'!$C$51)+4*((('01_Inputs'!$C$5)*('01_Inputs'!$C$6)))*('01_Inputs'!$C$51)*('01_Inputs'!$D$51))))))/(('01_Inputs'!$C$31)*('02_HW'!$C$6))*('02_HW'!$C$10))</x:f>
        <x:v>8.894024409559847</x:v>
      </x:c>
      <x:c r="P30" s="66" t="n">
        <x:f>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/(('01_Inputs'!$C$32)*('02_HW'!$C$7))*('02_HW'!$C$10))</x:f>
        <x:v>5.128945174925373</x:v>
      </x:c>
      <x:c r="Q30" s="66" t="n">
        <x:f>(MAX((((1+0*'01_Inputs'!$C$5))*((('01_Inputs'!$G$51)*((2*((('01_Inputs'!$C$5)*('01_Inputs'!$C$6)))*((('01_Inputs'!$B$51)*('01_Inputs'!$C$51)+('01_Inputs'!$C$51)*('01_Inputs'!$D$51)))+((('01_Inputs'!$C$5)*('01_Inputs'!$C$6)))*(('01_Inputs'!$C$37)*('01_Inputs'!$C$51)+('01_Inputs'!$C$38)*('01_Inputs'!$D$51))))-(2*((2*((('01_Inputs'!$C$5)*('01_Inputs'!$C$6)))*((('01_Inputs'!$B$51)*('01_Inputs'!$C$51)+('01_Inputs'!$C$51)*('01_Inputs'!$D$51)))+((('01_Inputs'!$C$5)*('01_Inputs'!$C$6)))*(('01_Inputs'!$C$37)*('01_Inputs'!$C$51)+('01_Inputs'!$C$38)*('01_Inputs'!$D$51))))+((2*((('01_Inputs'!$C$5)*('01_Inputs'!$C$6)))*('01_Inputs'!$B$51)*('01_Inputs'!$C$51)+4*((('01_Inputs'!$C$5)*('01_Inputs'!$C$6)))*('01_Inputs'!$C$51)*('01_Inputs'!$D$51))))))/(('01_Inputs'!$C$31)*('02_HW'!$C$6))*('02_HW'!$C$10)),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/(('01_Inputs'!$C$32)*('02_HW'!$C$7))*('02_HW'!$C$10)))+((1+0*'01_Inputs'!$C$5))*('02_HW'!$C$9)*('02_HW'!$C$10))</x:f>
        <x:v>8.894024409559847</x:v>
      </x:c>
      <x:c r="R30" s="21" t="str">
        <x:f>IF(O30&gt;P30,"compute",IF(P30&gt;O30,"memory","balanced"))&amp;IF('01_Inputs'!$C$5&gt;0,"","")</x:f>
        <x:v>compute</x:v>
      </x:c>
      <x:c r="S30" s="24" t="str">
        <x:v>Residual DGD calibration.</x:v>
      </x:c>
    </x:row>
    <x:row r="31">
      <x:c r="A31" s="21" t="n">
        <x:f>ROW()-5+0*('01_Inputs'!$C$5)</x:f>
        <x:v>26</x:v>
      </x:c>
      <x:c r="B31" s="21" t="str">
        <x:v>prefill</x:v>
      </x:c>
      <x:c r="C31" s="21" t="str">
        <x:v>titans_update</x:v>
      </x:c>
      <x:c r="D31" s="21" t="str">
        <x:v>M_alpha_state_apply</x:v>
      </x:c>
      <x:c r="E31" s="24" t="str">
        <x:v>B(1+m)Pbs read + write</x:v>
      </x:c>
      <x:c r="F31" s="66" t="n">
        <x:f>(INT((('01_Inputs'!$C$40)+('01_Inputs'!$C$6))/('01_Inputs'!$E$51))-INT(('01_Inputs'!$C$40)/('01_Inputs'!$E$51))+0*'01_Inputs'!$C$5)</x:f>
        <x:v>1</x:v>
      </x:c>
      <x:c r="G31" s="69" t="n">
        <x:f>(0*'01_Inputs'!$C$5)</x:f>
        <x:v>0</x:v>
      </x:c>
      <x:c r="H31" s="69" t="n">
        <x:f>(('01_Inputs'!$C$5)*(1+('01_Inputs'!$F$51))*((('01_Inputs'!$B$51)*('01_Inputs'!$C$51)+('01_Inputs'!$C$51)*('01_Inputs'!$D$51)))*('01_Inputs'!$C$35))</x:f>
        <x:v>4295491584</x:v>
      </x:c>
      <x:c r="I31" s="69" t="n">
        <x:f>(('01_Inputs'!$C$5)*(1+('01_Inputs'!$F$51))*((('01_Inputs'!$B$51)*('01_Inputs'!$C$51)+('01_Inputs'!$C$51)*('01_Inputs'!$D$51)))*('01_Inputs'!$C$35))</x:f>
        <x:v>4295491584</x:v>
      </x:c>
      <x:c r="J31" s="69" t="n">
        <x:f>(0*'01_Inputs'!$C$5)</x:f>
        <x:v>0</x:v>
      </x:c>
      <x:c r="K31" s="69" t="n">
        <x:f>((INT((('01_Inputs'!$C$40)+('01_Inputs'!$C$6))/('01_Inputs'!$E$51))-INT(('01_Inputs'!$C$40)/('01_Inputs'!$E$51))+0*'01_Inputs'!$C$5))*((('01_Inputs'!$C$5)*(1+('01_Inputs'!$F$51))*((('01_Inputs'!$B$51)*('01_Inputs'!$C$51)+('01_Inputs'!$C$51)*('01_Inputs'!$D$51)))*('01_Inputs'!$C$35)))+0*('01_Inputs'!$C$5)</x:f>
        <x:v>4295491584</x:v>
      </x:c>
      <x:c r="L31" s="69" t="n">
        <x:f>((INT((('01_Inputs'!$C$40)+('01_Inputs'!$C$6))/('01_Inputs'!$E$51))-INT(('01_Inputs'!$C$40)/('01_Inputs'!$E$51))+0*'01_Inputs'!$C$5))*(((('01_Inputs'!$C$5)*(1+('01_Inputs'!$F$51))*((('01_Inputs'!$B$51)*('01_Inputs'!$C$51)+('01_Inputs'!$C$51)*('01_Inputs'!$D$51)))*('01_Inputs'!$C$35)))+((0*'01_Inputs'!$C$5)))+0*('01_Inputs'!$C$5)</x:f>
        <x:v>4295491584</x:v>
      </x:c>
      <x:c r="M31" s="69" t="n">
        <x:f>(0*'01_Inputs'!$C$5)</x:f>
        <x:v>0</x:v>
      </x:c>
      <x:c r="N31" s="66" t="n">
        <x:f>IF((((INT((('01_Inputs'!$C$40)+('01_Inputs'!$C$6))/('01_Inputs'!$E$51))-INT(('01_Inputs'!$C$40)/('01_Inputs'!$E$51)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)=0,"",(((INT((('01_Inputs'!$C$40)+('01_Inputs'!$C$6))/('01_Inputs'!$E$51))-INT(('01_Inputs'!$C$40)/('01_Inputs'!$E$51))+0*'01_Inputs'!$C$5))*((0*'01_Inputs'!$C$5)))/((((INT((('01_Inputs'!$C$40)+('01_Inputs'!$C$6))/('01_Inputs'!$E$51))-INT(('01_Inputs'!$C$40)/('01_Inputs'!$E$51)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))+0*('01_Inputs'!$C$5))</x:f>
        <x:v>0</x:v>
      </x:c>
      <x:c r="O31" s="66" t="n">
        <x:f>(((INT((('01_Inputs'!$C$40)+('01_Inputs'!$C$6))/('01_Inputs'!$E$51))-INT(('01_Inputs'!$C$40)/('01_Inputs'!$E$51))+0*'01_Inputs'!$C$5))*((0*'01_Inputs'!$C$5))/(('01_Inputs'!$C$31)*('02_HW'!$C$6))*('02_HW'!$C$10))</x:f>
        <x:v>0</x:v>
      </x:c>
      <x:c r="P31" s="66" t="n">
        <x:f>(((INT((('01_Inputs'!$C$40)+('01_Inputs'!$C$6))/('01_Inputs'!$E$51))-INT(('01_Inputs'!$C$40)/('01_Inputs'!$E$51)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/(('01_Inputs'!$C$32)*('02_HW'!$C$7))*('02_HW'!$C$10))</x:f>
        <x:v>2.5644725874626864</x:v>
      </x:c>
      <x:c r="Q31" s="66" t="n">
        <x:f>(MAX((((INT((('01_Inputs'!$C$40)+('01_Inputs'!$C$6))/('01_Inputs'!$E$51))-INT(('01_Inputs'!$C$40)/('01_Inputs'!$E$51))+0*'01_Inputs'!$C$5))*((0*'01_Inputs'!$C$5))/(('01_Inputs'!$C$31)*('02_HW'!$C$6))*('02_HW'!$C$10)),(((INT((('01_Inputs'!$C$40)+('01_Inputs'!$C$6))/('01_Inputs'!$E$51))-INT(('01_Inputs'!$C$40)/('01_Inputs'!$E$51)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/(('01_Inputs'!$C$32)*('02_HW'!$C$7))*('02_HW'!$C$10)))+((INT((('01_Inputs'!$C$40)+('01_Inputs'!$C$6))/('01_Inputs'!$E$51))-INT(('01_Inputs'!$C$40)/('01_Inputs'!$E$51))+0*'01_Inputs'!$C$5))*('02_HW'!$C$9)*('02_HW'!$C$10))</x:f>
        <x:v>2.5644725874626864</x:v>
      </x:c>
      <x:c r="R31" s="21" t="str">
        <x:f>IF(O31&gt;P31,"compute",IF(P31&gt;O31,"memory","balanced"))&amp;IF('01_Inputs'!$C$5&gt;0,"","")</x:f>
        <x:v>memory</x:v>
      </x:c>
      <x:c r="S31" s="24" t="str">
        <x:v>Boundary-count state RMW.</x:v>
      </x:c>
    </x:row>
    <x:row r="32">
      <x:c r="A32" s="21" t="n">
        <x:f>ROW()-5+0*('01_Inputs'!$C$5)</x:f>
        <x:v>27</x:v>
      </x:c>
      <x:c r="B32" s="21" t="str">
        <x:v>prefill</x:v>
      </x:c>
      <x:c r="C32" s="21" t="str">
        <x:v>titans_update</x:v>
      </x:c>
      <x:c r="D32" s="21" t="str">
        <x:v>M_mem_target_forward</x:v>
      </x:c>
      <x:c r="E32" s="24" t="str">
        <x:v>Ffwd(N)</x:v>
      </x:c>
      <x:c r="F32" s="66" t="n">
        <x:f>(1+0*'01_Inputs'!$C$5)</x:f>
        <x:v>1</x:v>
      </x:c>
      <x:c r="G32" s="69" t="n">
        <x:f>(2*((('01_Inputs'!$C$5)*('01_Inputs'!$C$6)))*((('01_Inputs'!$B$52)*('01_Inputs'!$C$52)+('01_Inputs'!$C$52)*('01_Inputs'!$D$52)))+((('01_Inputs'!$C$5)*('01_Inputs'!$C$6)))*(('01_Inputs'!$C$37)*('01_Inputs'!$C$52)+('01_Inputs'!$C$38)*('01_Inputs'!$D$52)))</x:f>
        <x:v>17594870398976</x:v>
      </x:c>
      <x:c r="H32" s="69" t="n">
        <x:f>(((((('01_Inputs'!$C$5)*('01_Inputs'!$C$6)))*('01_Inputs'!$B$52)*('01_Inputs'!$C$14)))+('01_Inputs'!$C$5)*((('01_Inputs'!$B$52)*('01_Inputs'!$C$52)+('01_Inputs'!$C$52)*('01_Inputs'!$D$52)))*('01_Inputs'!$C$35)*('01_Inputs'!$H$52))</x:f>
        <x:v>4831838208</x:v>
      </x:c>
      <x:c r="I32" s="69" t="n">
        <x:f>(0*'01_Inputs'!$C$5)</x:f>
        <x:v>0</x:v>
      </x:c>
      <x:c r="J32" s="69" t="n">
        <x:f>(((('01_Inputs'!$C$5)*('01_Inputs'!$C$6)))*('01_Inputs'!$D$52)*('01_Inputs'!$C$14))</x:f>
        <x:v>536870912</x:v>
      </x:c>
      <x:c r="K32" s="69" t="n">
        <x:f>((1+0*'01_Inputs'!$C$5))*((((((('01_Inputs'!$C$5)*('01_Inputs'!$C$6)))*('01_Inputs'!$B$52)*('01_Inputs'!$C$14)))+('01_Inputs'!$C$5)*((('01_Inputs'!$B$52)*('01_Inputs'!$C$52)+('01_Inputs'!$C$52)*('01_Inputs'!$D$52)))*('01_Inputs'!$C$35)*('01_Inputs'!$H$52)))+0*('01_Inputs'!$C$5)</x:f>
        <x:v>4831838208</x:v>
      </x:c>
      <x:c r="L32" s="69" t="n">
        <x:f>((1+0*'01_Inputs'!$C$5))*(((0*'01_Inputs'!$C$5))+((((('01_Inputs'!$C$5)*('01_Inputs'!$C$6)))*('01_Inputs'!$D$52)*('01_Inputs'!$C$14))))+0*('01_Inputs'!$C$5)</x:f>
        <x:v>536870912</x:v>
      </x:c>
      <x:c r="M32" s="69" t="n">
        <x:f>(0*'01_Inputs'!$C$5)</x:f>
        <x:v>0</x:v>
      </x:c>
      <x:c r="N32" s="66" t="n">
        <x:f>IF(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)=0,"",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)/(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))+0*('01_Inputs'!$C$5))</x:f>
        <x:v>3277.3</x:v>
      </x:c>
      <x:c r="O32" s="66" t="n">
        <x:f>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/(('01_Inputs'!$C$31)*('02_HW'!$C$6))*('02_HW'!$C$10))</x:f>
        <x:v>17.78208013867598</x:v>
      </x:c>
      <x:c r="P32" s="66" t="n">
        <x:f>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/(('01_Inputs'!$C$32)*('02_HW'!$C$7))*('02_HW'!$C$10))</x:f>
        <x:v>1.6025997373134329</x:v>
      </x:c>
      <x:c r="Q32" s="66" t="n">
        <x:f>(MAX(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/(('01_Inputs'!$C$31)*('02_HW'!$C$6))*('02_HW'!$C$10)),(((1+0*'01_Inputs'!$C$5))*(((((((('01_Inputs'!$C$5)*('01_Inputs'!$C$6)))*('01_Inputs'!$B$52)*('01_Inputs'!$C$14)))+('01_Inputs'!$C$5)*((('01_Inputs'!$B$52)*('01_Inputs'!$C$52)+('01_Inputs'!$C$52)*('01_Inputs'!$D$52)))*('01_Inputs'!$C$35)*('01_Inputs'!$H$52)))+((0*'01_Inputs'!$C$5))+((((('01_Inputs'!$C$5)*('01_Inputs'!$C$6)))*('01_Inputs'!$D$52)*('01_Inputs'!$C$14))))/(('01_Inputs'!$C$32)*('02_HW'!$C$7))*('02_HW'!$C$10)))+((1+0*'01_Inputs'!$C$5))*('02_HW'!$C$9)*('02_HW'!$C$10))</x:f>
        <x:v>17.78208013867598</x:v>
      </x:c>
      <x:c r="R32" s="21" t="str">
        <x:f>IF(O32&gt;P32,"compute",IF(P32&gt;O32,"memory","balanced"))&amp;IF('01_Inputs'!$C$5&gt;0,"","")</x:f>
        <x:v>compute</x:v>
      </x:c>
      <x:c r="S32" s="24" t="str">
        <x:v>Explicit self-target term.</x:v>
      </x:c>
    </x:row>
    <x:row r="33">
      <x:c r="A33" s="21" t="n">
        <x:f>ROW()-5+0*('01_Inputs'!$C$5)</x:f>
        <x:v>28</x:v>
      </x:c>
      <x:c r="B33" s="21" t="str">
        <x:v>prefill</x:v>
      </x:c>
      <x:c r="C33" s="21" t="str">
        <x:v>titans_update</x:v>
      </x:c>
      <x:c r="D33" s="21" t="str">
        <x:v>M_mem_prediction_forward</x:v>
      </x:c>
      <x:c r="E33" s="24" t="str">
        <x:v>Ffwd(N)</x:v>
      </x:c>
      <x:c r="F33" s="66" t="n">
        <x:f>(1+0*'01_Inputs'!$C$5)</x:f>
        <x:v>1</x:v>
      </x:c>
      <x:c r="G33" s="69" t="n">
        <x:f>(2*((('01_Inputs'!$C$5)*('01_Inputs'!$C$6)))*((('01_Inputs'!$B$52)*('01_Inputs'!$C$52)+('01_Inputs'!$C$52)*('01_Inputs'!$D$52)))+((('01_Inputs'!$C$5)*('01_Inputs'!$C$6)))*(('01_Inputs'!$C$37)*('01_Inputs'!$C$52)+('01_Inputs'!$C$38)*('01_Inputs'!$D$52)))</x:f>
        <x:v>17594870398976</x:v>
      </x:c>
      <x:c r="H33" s="69" t="n">
        <x:f>(((('01_Inputs'!$C$5)*('01_Inputs'!$C$6)))*('01_Inputs'!$B$52)*('01_Inputs'!$C$14))</x:f>
        <x:v>536870912</x:v>
      </x:c>
      <x:c r="I33" s="69" t="n">
        <x:f>(0*'01_Inputs'!$C$5)</x:f>
        <x:v>0</x:v>
      </x:c>
      <x:c r="J33" s="69" t="n">
        <x:f>(((('01_Inputs'!$C$5)*('01_Inputs'!$C$6)))*('01_Inputs'!$D$52)*('01_Inputs'!$C$14))</x:f>
        <x:v>536870912</x:v>
      </x:c>
      <x:c r="K33" s="69" t="n">
        <x:f>((1+0*'01_Inputs'!$C$5))*((((('01_Inputs'!$C$5)*('01_Inputs'!$C$6)))*('01_Inputs'!$B$52)*('01_Inputs'!$C$14)))+0*('01_Inputs'!$C$5)</x:f>
        <x:v>536870912</x:v>
      </x:c>
      <x:c r="L33" s="69" t="n">
        <x:f>((1+0*'01_Inputs'!$C$5))*(((0*'01_Inputs'!$C$5))+((((('01_Inputs'!$C$5)*('01_Inputs'!$C$6)))*('01_Inputs'!$D$52)*('01_Inputs'!$C$14))))+0*('01_Inputs'!$C$5)</x:f>
        <x:v>536870912</x:v>
      </x:c>
      <x:c r="M33" s="69" t="n">
        <x:f>(0*'01_Inputs'!$C$5)</x:f>
        <x:v>0</x:v>
      </x:c>
      <x:c r="N33" s="66" t="n">
        <x:f>IF((((1+0*'01_Inputs'!$C$5))*(((((('01_Inputs'!$C$5)*('01_Inputs'!$C$6)))*('01_Inputs'!$B$52)*('01_Inputs'!$C$14)))+((0*'01_Inputs'!$C$5))+((((('01_Inputs'!$C$5)*('01_Inputs'!$C$6)))*('01_Inputs'!$D$52)*('01_Inputs'!$C$14)))))=0,"",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)/((((1+0*'01_Inputs'!$C$5))*(((((('01_Inputs'!$C$5)*('01_Inputs'!$C$6)))*('01_Inputs'!$B$52)*('01_Inputs'!$C$14)))+((0*'01_Inputs'!$C$5))+((((('01_Inputs'!$C$5)*('01_Inputs'!$C$6)))*('01_Inputs'!$D$52)*('01_Inputs'!$C$14))))))+0*('01_Inputs'!$C$5))</x:f>
        <x:v>16386.5</x:v>
      </x:c>
      <x:c r="O33" s="66" t="n">
        <x:f>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/(('01_Inputs'!$C$31)*('02_HW'!$C$6))*('02_HW'!$C$10))</x:f>
        <x:v>17.78208013867598</x:v>
      </x:c>
      <x:c r="P33" s="66" t="n">
        <x:f>(((1+0*'01_Inputs'!$C$5))*(((((('01_Inputs'!$C$5)*('01_Inputs'!$C$6)))*('01_Inputs'!$B$52)*('01_Inputs'!$C$14)))+((0*'01_Inputs'!$C$5))+((((('01_Inputs'!$C$5)*('01_Inputs'!$C$6)))*('01_Inputs'!$D$52)*('01_Inputs'!$C$14))))/(('01_Inputs'!$C$32)*('02_HW'!$C$7))*('02_HW'!$C$10))</x:f>
        <x:v>0.3205199474626865</x:v>
      </x:c>
      <x:c r="Q33" s="66" t="n">
        <x:f>(MAX((((1+0*'01_Inputs'!$C$5))*((2*((('01_Inputs'!$C$5)*('01_Inputs'!$C$6)))*((('01_Inputs'!$B$52)*('01_Inputs'!$C$52)+('01_Inputs'!$C$52)*('01_Inputs'!$D$52)))+((('01_Inputs'!$C$5)*('01_Inputs'!$C$6)))*(('01_Inputs'!$C$37)*('01_Inputs'!$C$52)+('01_Inputs'!$C$38)*('01_Inputs'!$D$52))))/(('01_Inputs'!$C$31)*('02_HW'!$C$6))*('02_HW'!$C$10)),(((1+0*'01_Inputs'!$C$5))*(((((('01_Inputs'!$C$5)*('01_Inputs'!$C$6)))*('01_Inputs'!$B$52)*('01_Inputs'!$C$14)))+((0*'01_Inputs'!$C$5))+((((('01_Inputs'!$C$5)*('01_Inputs'!$C$6)))*('01_Inputs'!$D$52)*('01_Inputs'!$C$14))))/(('01_Inputs'!$C$32)*('02_HW'!$C$7))*('02_HW'!$C$10)))+((1+0*'01_Inputs'!$C$5))*('02_HW'!$C$9)*('02_HW'!$C$10))</x:f>
        <x:v>17.78208013867598</x:v>
      </x:c>
      <x:c r="R33" s="21" t="str">
        <x:f>IF(O33&gt;P33,"compute",IF(P33&gt;O33,"memory","balanced"))&amp;IF('01_Inputs'!$C$5&gt;0,"","")</x:f>
        <x:v>compute</x:v>
      </x:c>
      <x:c r="S33" s="24" t="str">
        <x:v>Explicit prediction term.</x:v>
      </x:c>
    </x:row>
    <x:row r="34">
      <x:c r="A34" s="21" t="n">
        <x:f>ROW()-5+0*('01_Inputs'!$C$5)</x:f>
        <x:v>29</x:v>
      </x:c>
      <x:c r="B34" s="21" t="str">
        <x:v>prefill</x:v>
      </x:c>
      <x:c r="C34" s="21" t="str">
        <x:v>titans_update</x:v>
      </x:c>
      <x:c r="D34" s="21" t="str">
        <x:v>M_mem_weight_backward</x:v>
      </x:c>
      <x:c r="E34" s="24" t="str">
        <x:v>2NIH + 4NHO</x:v>
      </x:c>
      <x:c r="F34" s="66" t="n">
        <x:f>(1+0*'01_Inputs'!$C$5)</x:f>
        <x:v>1</x:v>
      </x:c>
      <x:c r="G34" s="69" t="n">
        <x:f>(2*((('01_Inputs'!$C$5)*('01_Inputs'!$C$6)))*('01_Inputs'!$B$52)*('01_Inputs'!$C$52)+4*((('01_Inputs'!$C$5)*('01_Inputs'!$C$6)))*('01_Inputs'!$C$52)*('01_Inputs'!$D$52))</x:f>
        <x:v>26388279066624</x:v>
      </x:c>
      <x:c r="H34" s="69" t="n">
        <x:f>(((('01_Inputs'!$C$5)*('01_Inputs'!$C$6)))*(('01_Inputs'!$B$52)+('01_Inputs'!$C$52)+('01_Inputs'!$D$52))*('01_Inputs'!$C$14))</x:f>
        <x:v>1610612736</x:v>
      </x:c>
      <x:c r="I34" s="69" t="n">
        <x:f>(0*'01_Inputs'!$C$5)</x:f>
        <x:v>0</x:v>
      </x:c>
      <x:c r="J34" s="69" t="n">
        <x:f>(('01_Inputs'!$C$5)*((('01_Inputs'!$B$52)*('01_Inputs'!$C$52)+('01_Inputs'!$C$52)*('01_Inputs'!$D$52)))*('01_Inputs'!$C$36))</x:f>
        <x:v>17179869184</x:v>
      </x:c>
      <x:c r="K34" s="69" t="n">
        <x:f>((1+0*'01_Inputs'!$C$5))*((((('01_Inputs'!$C$5)*('01_Inputs'!$C$6)))*(('01_Inputs'!$B$52)+('01_Inputs'!$C$52)+('01_Inputs'!$D$52))*('01_Inputs'!$C$14)))+0*('01_Inputs'!$C$5)</x:f>
        <x:v>1610612736</x:v>
      </x:c>
      <x:c r="L34" s="69" t="n">
        <x:f>((1+0*'01_Inputs'!$C$5))*(((0*'01_Inputs'!$C$5))+((('01_Inputs'!$C$5)*((('01_Inputs'!$B$52)*('01_Inputs'!$C$52)+('01_Inputs'!$C$52)*('01_Inputs'!$D$52)))*('01_Inputs'!$C$36))))+0*('01_Inputs'!$C$5)</x:f>
        <x:v>17179869184</x:v>
      </x:c>
      <x:c r="M34" s="69" t="n">
        <x:f>(0*'01_Inputs'!$C$5)</x:f>
        <x:v>0</x:v>
      </x:c>
      <x:c r="N34" s="66" t="n">
        <x:f>IF((((1+0*'01_Inputs'!$C$5))*(((((('01_Inputs'!$C$5)*('01_Inputs'!$C$6)))*(('01_Inputs'!$B$52)+('01_Inputs'!$C$52)+('01_Inputs'!$D$52))*('01_Inputs'!$C$14)))+((0*'01_Inputs'!$C$5))+((('01_Inputs'!$C$5)*((('01_Inputs'!$B$52)*('01_Inputs'!$C$52)+('01_Inputs'!$C$52)*('01_Inputs'!$D$52)))*('01_Inputs'!$C$36)))))=0,"",(((1+0*'01_Inputs'!$C$5))*((2*((('01_Inputs'!$C$5)*('01_Inputs'!$C$6)))*('01_Inputs'!$B$52)*('01_Inputs'!$C$52)+4*((('01_Inputs'!$C$5)*('01_Inputs'!$C$6)))*('01_Inputs'!$C$52)*('01_Inputs'!$D$52))))/((((1+0*'01_Inputs'!$C$5))*(((((('01_Inputs'!$C$5)*('01_Inputs'!$C$6)))*(('01_Inputs'!$B$52)+('01_Inputs'!$C$52)+('01_Inputs'!$D$52))*('01_Inputs'!$C$14)))+((0*'01_Inputs'!$C$5))+((('01_Inputs'!$C$5)*((('01_Inputs'!$B$52)*('01_Inputs'!$C$52)+('01_Inputs'!$C$52)*('01_Inputs'!$D$52)))*('01_Inputs'!$C$36))))))+0*('01_Inputs'!$C$5))</x:f>
        <x:v>1404.3428571428572</x:v>
      </x:c>
      <x:c r="O34" s="66" t="n">
        <x:f>(((1+0*'01_Inputs'!$C$5))*((2*((('01_Inputs'!$C$5)*('01_Inputs'!$C$6)))*('01_Inputs'!$B$52)*('01_Inputs'!$C$52)+4*((('01_Inputs'!$C$5)*('01_Inputs'!$C$6)))*('01_Inputs'!$C$52)*('01_Inputs'!$D$52)))/(('01_Inputs'!$C$31)*('02_HW'!$C$6))*('02_HW'!$C$10))</x:f>
        <x:v>26.66905083380227</x:v>
      </x:c>
      <x:c r="P34" s="66" t="n">
        <x:f>(((1+0*'01_Inputs'!$C$5))*(((((('01_Inputs'!$C$5)*('01_Inputs'!$C$6)))*(('01_Inputs'!$B$52)+('01_Inputs'!$C$52)+('01_Inputs'!$D$52))*('01_Inputs'!$C$14)))+((0*'01_Inputs'!$C$5))+((('01_Inputs'!$C$5)*((('01_Inputs'!$B$52)*('01_Inputs'!$C$52)+('01_Inputs'!$C$52)*('01_Inputs'!$D$52)))*('01_Inputs'!$C$36))))/(('01_Inputs'!$C$32)*('02_HW'!$C$7))*('02_HW'!$C$10))</x:f>
        <x:v>5.609099080597015</x:v>
      </x:c>
      <x:c r="Q34" s="66" t="n">
        <x:f>(MAX((((1+0*'01_Inputs'!$C$5))*((2*((('01_Inputs'!$C$5)*('01_Inputs'!$C$6)))*('01_Inputs'!$B$52)*('01_Inputs'!$C$52)+4*((('01_Inputs'!$C$5)*('01_Inputs'!$C$6)))*('01_Inputs'!$C$52)*('01_Inputs'!$D$52)))/(('01_Inputs'!$C$31)*('02_HW'!$C$6))*('02_HW'!$C$10)),(((1+0*'01_Inputs'!$C$5))*(((((('01_Inputs'!$C$5)*('01_Inputs'!$C$6)))*(('01_Inputs'!$B$52)+('01_Inputs'!$C$52)+('01_Inputs'!$D$52))*('01_Inputs'!$C$14)))+((0*'01_Inputs'!$C$5))+((('01_Inputs'!$C$5)*((('01_Inputs'!$B$52)*('01_Inputs'!$C$52)+('01_Inputs'!$C$52)*('01_Inputs'!$D$52)))*('01_Inputs'!$C$36))))/(('01_Inputs'!$C$32)*('02_HW'!$C$7))*('02_HW'!$C$10)))+((1+0*'01_Inputs'!$C$5))*('02_HW'!$C$9)*('02_HW'!$C$10))</x:f>
        <x:v>26.66905083380227</x:v>
      </x:c>
      <x:c r="R34" s="21" t="str">
        <x:f>IF(O34&gt;P34,"compute",IF(P34&gt;O34,"memory","balanced"))&amp;IF('01_Inputs'!$C$5&gt;0,"","")</x:f>
        <x:v>compute</x:v>
      </x:c>
      <x:c r="S34" s="24" t="str">
        <x:v>Weight-gradient backward; no input gradient.</x:v>
      </x:c>
    </x:row>
    <x:row r="35">
      <x:c r="A35" s="21" t="n">
        <x:f>ROW()-5+0*('01_Inputs'!$C$5)</x:f>
        <x:v>30</x:v>
      </x:c>
      <x:c r="B35" s="21" t="str">
        <x:v>prefill</x:v>
      </x:c>
      <x:c r="C35" s="21" t="str">
        <x:v>titans_update</x:v>
      </x:c>
      <x:c r="D35" s="21" t="str">
        <x:v>M_mem_dgd_extra</x:v>
      </x:c>
      <x:c r="E35" s="24" t="str">
        <x:v>μFfwd − (2Ffwd+Fbwd)</x:v>
      </x:c>
      <x:c r="F35" s="66" t="n">
        <x:f>(1+0*'01_Inputs'!$C$5)</x:f>
        <x:v>1</x:v>
      </x:c>
      <x:c r="G35" s="69" t="n">
        <x:f>(('01_Inputs'!$G$52)*((2*((('01_Inputs'!$C$5)*('01_Inputs'!$C$6)))*((('01_Inputs'!$B$52)*('01_Inputs'!$C$52)+('01_Inputs'!$C$52)*('01_Inputs'!$D$52)))+((('01_Inputs'!$C$5)*('01_Inputs'!$C$6)))*(('01_Inputs'!$C$37)*('01_Inputs'!$C$52)+('01_Inputs'!$C$38)*('01_Inputs'!$D$52))))-(2*((2*((('01_Inputs'!$C$5)*('01_Inputs'!$C$6)))*((('01_Inputs'!$B$52)*('01_Inputs'!$C$52)+('01_Inputs'!$C$52)*('01_Inputs'!$D$52)))+((('01_Inputs'!$C$5)*('01_Inputs'!$C$6)))*(('01_Inputs'!$C$37)*('01_Inputs'!$C$52)+('01_Inputs'!$C$38)*('01_Inputs'!$D$52))))+((2*((('01_Inputs'!$C$5)*('01_Inputs'!$C$6)))*('01_Inputs'!$B$52)*('01_Inputs'!$C$52)+4*((('01_Inputs'!$C$5)*('01_Inputs'!$C$6)))*('01_Inputs'!$C$52)*('01_Inputs'!$D$52)))))</x:f>
        <x:v>8801461731328</x:v>
      </x:c>
      <x:c r="H35" s="69" t="n">
        <x:f>(('01_Inputs'!$C$5)*((('01_Inputs'!$B$52)*('01_Inputs'!$C$52)+('01_Inputs'!$C$52)*('01_Inputs'!$D$52)))*('01_Inputs'!$C$36))</x:f>
        <x:v>17179869184</x:v>
      </x:c>
      <x:c r="I35" s="69" t="n">
        <x:f>(0*'01_Inputs'!$C$5)</x:f>
        <x:v>0</x:v>
      </x:c>
      <x:c r="J35" s="69" t="n">
        <x:f>(('01_Inputs'!$C$5)*((('01_Inputs'!$B$52)*('01_Inputs'!$C$52)+('01_Inputs'!$C$52)*('01_Inputs'!$D$52)))*('01_Inputs'!$C$36))</x:f>
        <x:v>17179869184</x:v>
      </x:c>
      <x:c r="K35" s="69" t="n">
        <x:f>((1+0*'01_Inputs'!$C$5))*((('01_Inputs'!$C$5)*((('01_Inputs'!$B$52)*('01_Inputs'!$C$52)+('01_Inputs'!$C$52)*('01_Inputs'!$D$52)))*('01_Inputs'!$C$36)))+0*('01_Inputs'!$C$5)</x:f>
        <x:v>17179869184</x:v>
      </x:c>
      <x:c r="L35" s="69" t="n">
        <x:f>((1+0*'01_Inputs'!$C$5))*(((0*'01_Inputs'!$C$5))+((('01_Inputs'!$C$5)*((('01_Inputs'!$B$52)*('01_Inputs'!$C$52)+('01_Inputs'!$C$52)*('01_Inputs'!$D$52)))*('01_Inputs'!$C$36))))+0*('01_Inputs'!$C$5)</x:f>
        <x:v>17179869184</x:v>
      </x:c>
      <x:c r="M35" s="69" t="n">
        <x:f>(0*'01_Inputs'!$C$5)</x:f>
        <x:v>0</x:v>
      </x:c>
      <x:c r="N35" s="66" t="n">
        <x:f>IF(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)=0,"",(((1+0*'01_Inputs'!$C$5))*((('01_Inputs'!$G$52)*((2*((('01_Inputs'!$C$5)*('01_Inputs'!$C$6)))*((('01_Inputs'!$B$52)*('01_Inputs'!$C$52)+('01_Inputs'!$C$52)*('01_Inputs'!$D$52)))+((('01_Inputs'!$C$5)*('01_Inputs'!$C$6)))*(('01_Inputs'!$C$37)*('01_Inputs'!$C$52)+('01_Inputs'!$C$38)*('01_Inputs'!$D$52))))-(2*((2*((('01_Inputs'!$C$5)*('01_Inputs'!$C$6)))*((('01_Inputs'!$B$52)*('01_Inputs'!$C$52)+('01_Inputs'!$C$52)*('01_Inputs'!$D$52)))+((('01_Inputs'!$C$5)*('01_Inputs'!$C$6)))*(('01_Inputs'!$C$37)*('01_Inputs'!$C$52)+('01_Inputs'!$C$38)*('01_Inputs'!$D$52))))+((2*((('01_Inputs'!$C$5)*('01_Inputs'!$C$6)))*('01_Inputs'!$B$52)*('01_Inputs'!$C$52)+4*((('01_Inputs'!$C$5)*('01_Inputs'!$C$6)))*('01_Inputs'!$C$52)*('01_Inputs'!$D$52)))))))/(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))+0*('01_Inputs'!$C$5))</x:f>
        <x:v>256.15625</x:v>
      </x:c>
      <x:c r="O35" s="66" t="n">
        <x:f>(((1+0*'01_Inputs'!$C$5))*((('01_Inputs'!$G$52)*((2*((('01_Inputs'!$C$5)*('01_Inputs'!$C$6)))*((('01_Inputs'!$B$52)*('01_Inputs'!$C$52)+('01_Inputs'!$C$52)*('01_Inputs'!$D$52)))+((('01_Inputs'!$C$5)*('01_Inputs'!$C$6)))*(('01_Inputs'!$C$37)*('01_Inputs'!$C$52)+('01_Inputs'!$C$38)*('01_Inputs'!$D$52))))-(2*((2*((('01_Inputs'!$C$5)*('01_Inputs'!$C$6)))*((('01_Inputs'!$B$52)*('01_Inputs'!$C$52)+('01_Inputs'!$C$52)*('01_Inputs'!$D$52)))+((('01_Inputs'!$C$5)*('01_Inputs'!$C$6)))*(('01_Inputs'!$C$37)*('01_Inputs'!$C$52)+('01_Inputs'!$C$38)*('01_Inputs'!$D$52))))+((2*((('01_Inputs'!$C$5)*('01_Inputs'!$C$6)))*('01_Inputs'!$B$52)*('01_Inputs'!$C$52)+4*((('01_Inputs'!$C$5)*('01_Inputs'!$C$6)))*('01_Inputs'!$C$52)*('01_Inputs'!$D$52))))))/(('01_Inputs'!$C$31)*('02_HW'!$C$6))*('02_HW'!$C$10))</x:f>
        <x:v>8.895109443549691</x:v>
      </x:c>
      <x:c r="P35" s="66" t="n">
        <x:f>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/(('01_Inputs'!$C$32)*('02_HW'!$C$7))*('02_HW'!$C$10))</x:f>
        <x:v>10.256638318805969</x:v>
      </x:c>
      <x:c r="Q35" s="66" t="n">
        <x:f>(MAX((((1+0*'01_Inputs'!$C$5))*((('01_Inputs'!$G$52)*((2*((('01_Inputs'!$C$5)*('01_Inputs'!$C$6)))*((('01_Inputs'!$B$52)*('01_Inputs'!$C$52)+('01_Inputs'!$C$52)*('01_Inputs'!$D$52)))+((('01_Inputs'!$C$5)*('01_Inputs'!$C$6)))*(('01_Inputs'!$C$37)*('01_Inputs'!$C$52)+('01_Inputs'!$C$38)*('01_Inputs'!$D$52))))-(2*((2*((('01_Inputs'!$C$5)*('01_Inputs'!$C$6)))*((('01_Inputs'!$B$52)*('01_Inputs'!$C$52)+('01_Inputs'!$C$52)*('01_Inputs'!$D$52)))+((('01_Inputs'!$C$5)*('01_Inputs'!$C$6)))*(('01_Inputs'!$C$37)*('01_Inputs'!$C$52)+('01_Inputs'!$C$38)*('01_Inputs'!$D$52))))+((2*((('01_Inputs'!$C$5)*('01_Inputs'!$C$6)))*('01_Inputs'!$B$52)*('01_Inputs'!$C$52)+4*((('01_Inputs'!$C$5)*('01_Inputs'!$C$6)))*('01_Inputs'!$C$52)*('01_Inputs'!$D$52))))))/(('01_Inputs'!$C$31)*('02_HW'!$C$6))*('02_HW'!$C$10)),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/(('01_Inputs'!$C$32)*('02_HW'!$C$7))*('02_HW'!$C$10)))+((1+0*'01_Inputs'!$C$5))*('02_HW'!$C$9)*('02_HW'!$C$10))</x:f>
        <x:v>10.256638318805969</x:v>
      </x:c>
      <x:c r="R35" s="21" t="str">
        <x:f>IF(O35&gt;P35,"compute",IF(P35&gt;O35,"memory","balanced"))&amp;IF('01_Inputs'!$C$5&gt;0,"","")</x:f>
        <x:v>memory</x:v>
      </x:c>
      <x:c r="S35" s="24" t="str">
        <x:v>Residual DGD calibration.</x:v>
      </x:c>
    </x:row>
    <x:row r="36">
      <x:c r="A36" s="21" t="n">
        <x:f>ROW()-5+0*('01_Inputs'!$C$5)</x:f>
        <x:v>31</x:v>
      </x:c>
      <x:c r="B36" s="21" t="str">
        <x:v>prefill</x:v>
      </x:c>
      <x:c r="C36" s="21" t="str">
        <x:v>titans_update</x:v>
      </x:c>
      <x:c r="D36" s="21" t="str">
        <x:v>M_mem_state_apply</x:v>
      </x:c>
      <x:c r="E36" s="24" t="str">
        <x:v>B(1+m)Pbs read + write</x:v>
      </x:c>
      <x:c r="F36" s="66" t="n">
        <x:f>(INT((('01_Inputs'!$C$40)+('01_Inputs'!$C$6))/('01_Inputs'!$E$52))-INT(('01_Inputs'!$C$40)/('01_Inputs'!$E$52))+0*'01_Inputs'!$C$5)</x:f>
        <x:v>1</x:v>
      </x:c>
      <x:c r="G36" s="69" t="n">
        <x:f>(0*'01_Inputs'!$C$5)</x:f>
        <x:v>0</x:v>
      </x:c>
      <x:c r="H36" s="69" t="n">
        <x:f>(('01_Inputs'!$C$5)*(1+('01_Inputs'!$F$52))*((('01_Inputs'!$B$52)*('01_Inputs'!$C$52)+('01_Inputs'!$C$52)*('01_Inputs'!$D$52)))*('01_Inputs'!$C$35))</x:f>
        <x:v>8589934592</x:v>
      </x:c>
      <x:c r="I36" s="69" t="n">
        <x:f>(('01_Inputs'!$C$5)*(1+('01_Inputs'!$F$52))*((('01_Inputs'!$B$52)*('01_Inputs'!$C$52)+('01_Inputs'!$C$52)*('01_Inputs'!$D$52)))*('01_Inputs'!$C$35))</x:f>
        <x:v>8589934592</x:v>
      </x:c>
      <x:c r="J36" s="69" t="n">
        <x:f>(0*'01_Inputs'!$C$5)</x:f>
        <x:v>0</x:v>
      </x:c>
      <x:c r="K36" s="69" t="n">
        <x:f>((INT((('01_Inputs'!$C$40)+('01_Inputs'!$C$6))/('01_Inputs'!$E$52))-INT(('01_Inputs'!$C$40)/('01_Inputs'!$E$52))+0*'01_Inputs'!$C$5))*((('01_Inputs'!$C$5)*(1+('01_Inputs'!$F$52))*((('01_Inputs'!$B$52)*('01_Inputs'!$C$52)+('01_Inputs'!$C$52)*('01_Inputs'!$D$52)))*('01_Inputs'!$C$35)))+0*('01_Inputs'!$C$5)</x:f>
        <x:v>8589934592</x:v>
      </x:c>
      <x:c r="L36" s="69" t="n">
        <x:f>((INT((('01_Inputs'!$C$40)+('01_Inputs'!$C$6))/('01_Inputs'!$E$52))-INT(('01_Inputs'!$C$40)/('01_Inputs'!$E$52))+0*'01_Inputs'!$C$5))*(((('01_Inputs'!$C$5)*(1+('01_Inputs'!$F$52))*((('01_Inputs'!$B$52)*('01_Inputs'!$C$52)+('01_Inputs'!$C$52)*('01_Inputs'!$D$52)))*('01_Inputs'!$C$35)))+((0*'01_Inputs'!$C$5)))+0*('01_Inputs'!$C$5)</x:f>
        <x:v>8589934592</x:v>
      </x:c>
      <x:c r="M36" s="69" t="n">
        <x:f>(0*'01_Inputs'!$C$5)</x:f>
        <x:v>0</x:v>
      </x:c>
      <x:c r="N36" s="66" t="n">
        <x:f>IF((((INT((('01_Inputs'!$C$40)+('01_Inputs'!$C$6))/('01_Inputs'!$E$52))-INT(('01_Inputs'!$C$40)/('01_Inputs'!$E$52)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)=0,"",(((INT((('01_Inputs'!$C$40)+('01_Inputs'!$C$6))/('01_Inputs'!$E$52))-INT(('01_Inputs'!$C$40)/('01_Inputs'!$E$52))+0*'01_Inputs'!$C$5))*((0*'01_Inputs'!$C$5)))/((((INT((('01_Inputs'!$C$40)+('01_Inputs'!$C$6))/('01_Inputs'!$E$52))-INT(('01_Inputs'!$C$40)/('01_Inputs'!$E$52)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))+0*('01_Inputs'!$C$5))</x:f>
        <x:v>0</x:v>
      </x:c>
      <x:c r="O36" s="66" t="n">
        <x:f>(((INT((('01_Inputs'!$C$40)+('01_Inputs'!$C$6))/('01_Inputs'!$E$52))-INT(('01_Inputs'!$C$40)/('01_Inputs'!$E$52))+0*'01_Inputs'!$C$5))*((0*'01_Inputs'!$C$5))/(('01_Inputs'!$C$31)*('02_HW'!$C$6))*('02_HW'!$C$10))</x:f>
        <x:v>0</x:v>
      </x:c>
      <x:c r="P36" s="66" t="n">
        <x:f>(((INT((('01_Inputs'!$C$40)+('01_Inputs'!$C$6))/('01_Inputs'!$E$52))-INT(('01_Inputs'!$C$40)/('01_Inputs'!$E$52)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/(('01_Inputs'!$C$32)*('02_HW'!$C$7))*('02_HW'!$C$10))</x:f>
        <x:v>5.128319159402984</x:v>
      </x:c>
      <x:c r="Q36" s="66" t="n">
        <x:f>(MAX((((INT((('01_Inputs'!$C$40)+('01_Inputs'!$C$6))/('01_Inputs'!$E$52))-INT(('01_Inputs'!$C$40)/('01_Inputs'!$E$52))+0*'01_Inputs'!$C$5))*((0*'01_Inputs'!$C$5))/(('01_Inputs'!$C$31)*('02_HW'!$C$6))*('02_HW'!$C$10)),(((INT((('01_Inputs'!$C$40)+('01_Inputs'!$C$6))/('01_Inputs'!$E$52))-INT(('01_Inputs'!$C$40)/('01_Inputs'!$E$52)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/(('01_Inputs'!$C$32)*('02_HW'!$C$7))*('02_HW'!$C$10)))+((INT((('01_Inputs'!$C$40)+('01_Inputs'!$C$6))/('01_Inputs'!$E$52))-INT(('01_Inputs'!$C$40)/('01_Inputs'!$E$52))+0*'01_Inputs'!$C$5))*('02_HW'!$C$9)*('02_HW'!$C$10))</x:f>
        <x:v>5.128319159402984</x:v>
      </x:c>
      <x:c r="R36" s="21" t="str">
        <x:f>IF(O36&gt;P36,"compute",IF(P36&gt;O36,"memory","balanced"))&amp;IF('01_Inputs'!$C$5&gt;0,"","")</x:f>
        <x:v>memory</x:v>
      </x:c>
      <x:c r="S36" s="24" t="str">
        <x:v>Boundary-count state RMW.</x:v>
      </x:c>
    </x:row>
    <x:row r="37">
      <x:c r="A37" s="21" t="n">
        <x:f>ROW()-5+0*('01_Inputs'!$C$5)</x:f>
        <x:v>32</x:v>
      </x:c>
      <x:c r="B37" s="21" t="str">
        <x:v>prefill</x:v>
      </x:c>
      <x:c r="C37" s="21" t="str">
        <x:v>cms</x:v>
      </x:c>
      <x:c r="D37" s="21" t="str">
        <x:v>cms_l1_forward</x:v>
      </x:c>
      <x:c r="E37" s="24" t="str">
        <x:v>2NPℓ</x:v>
      </x:c>
      <x:c r="F37" s="66" t="n">
        <x:f>(1+0*'01_Inputs'!$C$5)</x:f>
        <x:v>1</x:v>
      </x:c>
      <x:c r="G37" s="69" t="n">
        <x:f>(2*((('01_Inputs'!$C$5)*('01_Inputs'!$C$6)))*((('01_Inputs'!$B$57)*('01_Inputs'!$C$57)+('01_Inputs'!$C$57)*('01_Inputs'!$D$57))))</x:f>
        <x:v>8796093022208</x:v>
      </x:c>
      <x:c r="H37" s="69" t="n">
        <x:f>(((IF(('01_Inputs'!$H$57)=1,('01_Inputs'!$C$5),1)))*((('01_Inputs'!$B$57)*('01_Inputs'!$C$57)+('01_Inputs'!$C$57)*('01_Inputs'!$D$57)))*('01_Inputs'!$C$35)+((('01_Inputs'!$C$5)*('01_Inputs'!$C$6)))*('01_Inputs'!$B$57)*('01_Inputs'!$C$14))</x:f>
        <x:v>2684354560</x:v>
      </x:c>
      <x:c r="I37" s="69" t="n">
        <x:f>(0*'01_Inputs'!$C$5)</x:f>
        <x:v>0</x:v>
      </x:c>
      <x:c r="J37" s="69" t="n">
        <x:f>(((('01_Inputs'!$C$5)*('01_Inputs'!$C$6)))*('01_Inputs'!$D$57)*('01_Inputs'!$C$14))</x:f>
        <x:v>536870912</x:v>
      </x:c>
      <x:c r="K37" s="69" t="n">
        <x:f>((1+0*'01_Inputs'!$C$5))*((((IF(('01_Inputs'!$H$57)=1,('01_Inputs'!$C$5),1)))*((('01_Inputs'!$B$57)*('01_Inputs'!$C$57)+('01_Inputs'!$C$57)*('01_Inputs'!$D$57)))*('01_Inputs'!$C$35)+((('01_Inputs'!$C$5)*('01_Inputs'!$C$6)))*('01_Inputs'!$B$57)*('01_Inputs'!$C$14)))+0*('01_Inputs'!$C$5)</x:f>
        <x:v>2684354560</x:v>
      </x:c>
      <x:c r="L37" s="69" t="n">
        <x:f>((1+0*'01_Inputs'!$C$5))*(((0*'01_Inputs'!$C$5))+((((('01_Inputs'!$C$5)*('01_Inputs'!$C$6)))*('01_Inputs'!$D$57)*('01_Inputs'!$C$14))))+0*('01_Inputs'!$C$5)</x:f>
        <x:v>536870912</x:v>
      </x:c>
      <x:c r="M37" s="69" t="n">
        <x:f>(((IF(('01_Inputs'!$H$57)=1,('01_Inputs'!$C$5),1)))*((('01_Inputs'!$B$57)*('01_Inputs'!$C$57)+('01_Inputs'!$C$57)*('01_Inputs'!$D$57)))*(('01_Inputs'!$C$35)+('01_Inputs'!$G$57)*('01_Inputs'!$C$36)))</x:f>
        <x:v>2147483648</x:v>
      </x:c>
      <x:c r="N37" s="66" t="n">
        <x:f>IF((((1+0*'01_Inputs'!$C$5))*(((((IF(('01_Inputs'!$H$57)=1,('01_Inputs'!$C$5),1)))*((('01_Inputs'!$B$57)*('01_Inputs'!$C$57)+('01_Inputs'!$C$57)*('01_Inputs'!$D$57)))*('01_Inputs'!$C$35)+((('01_Inputs'!$C$5)*('01_Inputs'!$C$6)))*('01_Inputs'!$B$57)*('01_Inputs'!$C$14)))+((0*'01_Inputs'!$C$5))+((((('01_Inputs'!$C$5)*('01_Inputs'!$C$6)))*('01_Inputs'!$D$57)*('01_Inputs'!$C$14)))))=0,"",(((1+0*'01_Inputs'!$C$5))*((2*((('01_Inputs'!$C$5)*('01_Inputs'!$C$6)))*((('01_Inputs'!$B$57)*('01_Inputs'!$C$57)+('01_Inputs'!$C$57)*('01_Inputs'!$D$57))))))/((((1+0*'01_Inputs'!$C$5))*(((((IF(('01_Inputs'!$H$57)=1,('01_Inputs'!$C$5),1)))*((('01_Inputs'!$B$57)*('01_Inputs'!$C$57)+('01_Inputs'!$C$57)*('01_Inputs'!$D$57)))*('01_Inputs'!$C$35)+((('01_Inputs'!$C$5)*('01_Inputs'!$C$6)))*('01_Inputs'!$B$57)*('01_Inputs'!$C$14)))+((0*'01_Inputs'!$C$5))+((((('01_Inputs'!$C$5)*('01_Inputs'!$C$6)))*('01_Inputs'!$D$57)*('01_Inputs'!$C$14))))))+0*('01_Inputs'!$C$5))</x:f>
        <x:v>2730.6666666666665</x:v>
      </x:c>
      <x:c r="O37" s="66" t="n">
        <x:f>(((1+0*'01_Inputs'!$C$5))*((2*((('01_Inputs'!$C$5)*('01_Inputs'!$C$6)))*((('01_Inputs'!$B$57)*('01_Inputs'!$C$57)+('01_Inputs'!$C$57)*('01_Inputs'!$D$57)))))/(('01_Inputs'!$C$31)*('02_HW'!$C$6))*('02_HW'!$C$10))</x:f>
        <x:v>8.889683611267422</x:v>
      </x:c>
      <x:c r="P37" s="66" t="n">
        <x:f>(((1+0*'01_Inputs'!$C$5))*(((((IF(('01_Inputs'!$H$57)=1,('01_Inputs'!$C$5),1)))*((('01_Inputs'!$B$57)*('01_Inputs'!$C$57)+('01_Inputs'!$C$57)*('01_Inputs'!$D$57)))*('01_Inputs'!$C$35)+((('01_Inputs'!$C$5)*('01_Inputs'!$C$6)))*('01_Inputs'!$B$57)*('01_Inputs'!$C$14)))+((0*'01_Inputs'!$C$5))+((((('01_Inputs'!$C$5)*('01_Inputs'!$C$6)))*('01_Inputs'!$D$57)*('01_Inputs'!$C$14))))/(('01_Inputs'!$C$32)*('02_HW'!$C$7))*('02_HW'!$C$10))</x:f>
        <x:v>0.9615598423880597</x:v>
      </x:c>
      <x:c r="Q37" s="66" t="n">
        <x:f>(MAX((((1+0*'01_Inputs'!$C$5))*((2*((('01_Inputs'!$C$5)*('01_Inputs'!$C$6)))*((('01_Inputs'!$B$57)*('01_Inputs'!$C$57)+('01_Inputs'!$C$57)*('01_Inputs'!$D$57)))))/(('01_Inputs'!$C$31)*('02_HW'!$C$6))*('02_HW'!$C$10)),(((1+0*'01_Inputs'!$C$5))*(((((IF(('01_Inputs'!$H$57)=1,('01_Inputs'!$C$5),1)))*((('01_Inputs'!$B$57)*('01_Inputs'!$C$57)+('01_Inputs'!$C$57)*('01_Inputs'!$D$57)))*('01_Inputs'!$C$35)+((('01_Inputs'!$C$5)*('01_Inputs'!$C$6)))*('01_Inputs'!$B$57)*('01_Inputs'!$C$14)))+((0*'01_Inputs'!$C$5))+((((('01_Inputs'!$C$5)*('01_Inputs'!$C$6)))*('01_Inputs'!$D$57)*('01_Inputs'!$C$14))))/(('01_Inputs'!$C$32)*('02_HW'!$C$7))*('02_HW'!$C$10)))+((1+0*'01_Inputs'!$C$5))*('02_HW'!$C$9)*('02_HW'!$C$10))</x:f>
        <x:v>8.889683611267422</x:v>
      </x:c>
      <x:c r="R37" s="21" t="str">
        <x:f>IF(O37&gt;P37,"compute",IF(P37&gt;O37,"memory","balanced"))&amp;IF('01_Inputs'!$C$5&gt;0,"","")</x:f>
        <x:v>compute</x:v>
      </x:c>
      <x:c r="S37" s="24" t="str">
        <x:v>Read period 1; update period remains separate.</x:v>
      </x:c>
    </x:row>
    <x:row r="38">
      <x:c r="A38" s="21" t="n">
        <x:f>ROW()-5+0*('01_Inputs'!$C$5)</x:f>
        <x:v>33</x:v>
      </x:c>
      <x:c r="B38" s="21" t="str">
        <x:v>prefill</x:v>
      </x:c>
      <x:c r="C38" s="21" t="str">
        <x:v>cms</x:v>
      </x:c>
      <x:c r="D38" s="21" t="str">
        <x:v>cms_l2_forward</x:v>
      </x:c>
      <x:c r="E38" s="24" t="str">
        <x:v>2NPℓ</x:v>
      </x:c>
      <x:c r="F38" s="66" t="n">
        <x:f>(1+0*'01_Inputs'!$C$5)</x:f>
        <x:v>1</x:v>
      </x:c>
      <x:c r="G38" s="69" t="n">
        <x:f>(2*((('01_Inputs'!$C$5)*('01_Inputs'!$C$6)))*((('01_Inputs'!$B$58)*('01_Inputs'!$C$58)+('01_Inputs'!$C$58)*('01_Inputs'!$D$58))))</x:f>
        <x:v>17592186044416</x:v>
      </x:c>
      <x:c r="H38" s="69" t="n">
        <x:f>(((IF(('01_Inputs'!$H$58)=1,('01_Inputs'!$C$5),1)))*((('01_Inputs'!$B$58)*('01_Inputs'!$C$58)+('01_Inputs'!$C$58)*('01_Inputs'!$D$58)))*('01_Inputs'!$C$35)+((('01_Inputs'!$C$5)*('01_Inputs'!$C$6)))*('01_Inputs'!$B$58)*('01_Inputs'!$C$14))</x:f>
        <x:v>4831838208</x:v>
      </x:c>
      <x:c r="I38" s="69" t="n">
        <x:f>(0*'01_Inputs'!$C$5)</x:f>
        <x:v>0</x:v>
      </x:c>
      <x:c r="J38" s="69" t="n">
        <x:f>(((('01_Inputs'!$C$5)*('01_Inputs'!$C$6)))*('01_Inputs'!$D$58)*('01_Inputs'!$C$14))</x:f>
        <x:v>536870912</x:v>
      </x:c>
      <x:c r="K38" s="69" t="n">
        <x:f>((1+0*'01_Inputs'!$C$5))*((((IF(('01_Inputs'!$H$58)=1,('01_Inputs'!$C$5),1)))*((('01_Inputs'!$B$58)*('01_Inputs'!$C$58)+('01_Inputs'!$C$58)*('01_Inputs'!$D$58)))*('01_Inputs'!$C$35)+((('01_Inputs'!$C$5)*('01_Inputs'!$C$6)))*('01_Inputs'!$B$58)*('01_Inputs'!$C$14)))+0*('01_Inputs'!$C$5)</x:f>
        <x:v>4831838208</x:v>
      </x:c>
      <x:c r="L38" s="69" t="n">
        <x:f>((1+0*'01_Inputs'!$C$5))*(((0*'01_Inputs'!$C$5))+((((('01_Inputs'!$C$5)*('01_Inputs'!$C$6)))*('01_Inputs'!$D$58)*('01_Inputs'!$C$14))))+0*('01_Inputs'!$C$5)</x:f>
        <x:v>536870912</x:v>
      </x:c>
      <x:c r="M38" s="69" t="n">
        <x:f>(((IF(('01_Inputs'!$H$58)=1,('01_Inputs'!$C$5),1)))*((('01_Inputs'!$B$58)*('01_Inputs'!$C$58)+('01_Inputs'!$C$58)*('01_Inputs'!$D$58)))*(('01_Inputs'!$C$35)+('01_Inputs'!$G$58)*('01_Inputs'!$C$36)))</x:f>
        <x:v>4294967296</x:v>
      </x:c>
      <x:c r="N38" s="66" t="n">
        <x:f>IF((((1+0*'01_Inputs'!$C$5))*(((((IF(('01_Inputs'!$H$58)=1,('01_Inputs'!$C$5),1)))*((('01_Inputs'!$B$58)*('01_Inputs'!$C$58)+('01_Inputs'!$C$58)*('01_Inputs'!$D$58)))*('01_Inputs'!$C$35)+((('01_Inputs'!$C$5)*('01_Inputs'!$C$6)))*('01_Inputs'!$B$58)*('01_Inputs'!$C$14)))+((0*'01_Inputs'!$C$5))+((((('01_Inputs'!$C$5)*('01_Inputs'!$C$6)))*('01_Inputs'!$D$58)*('01_Inputs'!$C$14)))))=0,"",(((1+0*'01_Inputs'!$C$5))*((2*((('01_Inputs'!$C$5)*('01_Inputs'!$C$6)))*((('01_Inputs'!$B$58)*('01_Inputs'!$C$58)+('01_Inputs'!$C$58)*('01_Inputs'!$D$58))))))/((((1+0*'01_Inputs'!$C$5))*(((((IF(('01_Inputs'!$H$58)=1,('01_Inputs'!$C$5),1)))*((('01_Inputs'!$B$58)*('01_Inputs'!$C$58)+('01_Inputs'!$C$58)*('01_Inputs'!$D$58)))*('01_Inputs'!$C$35)+((('01_Inputs'!$C$5)*('01_Inputs'!$C$6)))*('01_Inputs'!$B$58)*('01_Inputs'!$C$14)))+((0*'01_Inputs'!$C$5))+((((('01_Inputs'!$C$5)*('01_Inputs'!$C$6)))*('01_Inputs'!$D$58)*('01_Inputs'!$C$14))))))+0*('01_Inputs'!$C$5))</x:f>
        <x:v>3276.8</x:v>
      </x:c>
      <x:c r="O38" s="66" t="n">
        <x:f>(((1+0*'01_Inputs'!$C$5))*((2*((('01_Inputs'!$C$5)*('01_Inputs'!$C$6)))*((('01_Inputs'!$B$58)*('01_Inputs'!$C$58)+('01_Inputs'!$C$58)*('01_Inputs'!$D$58)))))/(('01_Inputs'!$C$31)*('02_HW'!$C$6))*('02_HW'!$C$10))</x:f>
        <x:v>17.779367222534844</x:v>
      </x:c>
      <x:c r="P38" s="66" t="n">
        <x:f>(((1+0*'01_Inputs'!$C$5))*(((((IF(('01_Inputs'!$H$58)=1,('01_Inputs'!$C$5),1)))*((('01_Inputs'!$B$58)*('01_Inputs'!$C$58)+('01_Inputs'!$C$58)*('01_Inputs'!$D$58)))*('01_Inputs'!$C$35)+((('01_Inputs'!$C$5)*('01_Inputs'!$C$6)))*('01_Inputs'!$B$58)*('01_Inputs'!$C$14)))+((0*'01_Inputs'!$C$5))+((((('01_Inputs'!$C$5)*('01_Inputs'!$C$6)))*('01_Inputs'!$D$58)*('01_Inputs'!$C$14))))/(('01_Inputs'!$C$32)*('02_HW'!$C$7))*('02_HW'!$C$10))</x:f>
        <x:v>1.6025997373134329</x:v>
      </x:c>
      <x:c r="Q38" s="66" t="n">
        <x:f>(MAX((((1+0*'01_Inputs'!$C$5))*((2*((('01_Inputs'!$C$5)*('01_Inputs'!$C$6)))*((('01_Inputs'!$B$58)*('01_Inputs'!$C$58)+('01_Inputs'!$C$58)*('01_Inputs'!$D$58)))))/(('01_Inputs'!$C$31)*('02_HW'!$C$6))*('02_HW'!$C$10)),(((1+0*'01_Inputs'!$C$5))*(((((IF(('01_Inputs'!$H$58)=1,('01_Inputs'!$C$5),1)))*((('01_Inputs'!$B$58)*('01_Inputs'!$C$58)+('01_Inputs'!$C$58)*('01_Inputs'!$D$58)))*('01_Inputs'!$C$35)+((('01_Inputs'!$C$5)*('01_Inputs'!$C$6)))*('01_Inputs'!$B$58)*('01_Inputs'!$C$14)))+((0*'01_Inputs'!$C$5))+((((('01_Inputs'!$C$5)*('01_Inputs'!$C$6)))*('01_Inputs'!$D$58)*('01_Inputs'!$C$14))))/(('01_Inputs'!$C$32)*('02_HW'!$C$7))*('02_HW'!$C$10)))+((1+0*'01_Inputs'!$C$5))*('02_HW'!$C$9)*('02_HW'!$C$10))</x:f>
        <x:v>17.779367222534844</x:v>
      </x:c>
      <x:c r="R38" s="21" t="str">
        <x:f>IF(O38&gt;P38,"compute",IF(P38&gt;O38,"memory","balanced"))&amp;IF('01_Inputs'!$C$5&gt;0,"","")</x:f>
        <x:v>compute</x:v>
      </x:c>
      <x:c r="S38" s="24" t="str">
        <x:v>Read period 1; update period remains separate.</x:v>
      </x:c>
    </x:row>
    <x:row r="39">
      <x:c r="A39" s="22" t="n">
        <x:f>ROW()-5+0*('01_Inputs'!$C$5)</x:f>
        <x:v>34</x:v>
      </x:c>
      <x:c r="B39" s="22" t="str">
        <x:v>prefill</x:v>
      </x:c>
      <x:c r="C39" s="22" t="str">
        <x:v>cms</x:v>
      </x:c>
      <x:c r="D39" s="22" t="str">
        <x:v>cms_l3_forward</x:v>
      </x:c>
      <x:c r="E39" s="25" t="str">
        <x:v>2NPℓ</x:v>
      </x:c>
      <x:c r="F39" s="67" t="n">
        <x:f>(1+0*'01_Inputs'!$C$5)</x:f>
        <x:v>1</x:v>
      </x:c>
      <x:c r="G39" s="70" t="n">
        <x:f>(2*((('01_Inputs'!$C$5)*('01_Inputs'!$C$6)))*((('01_Inputs'!$B$59)*('01_Inputs'!$C$59)+('01_Inputs'!$C$59)*('01_Inputs'!$D$59))))</x:f>
        <x:v>35184372088832</x:v>
      </x:c>
      <x:c r="H39" s="70" t="n">
        <x:f>(((IF(('01_Inputs'!$H$59)=1,('01_Inputs'!$C$5),1)))*((('01_Inputs'!$B$59)*('01_Inputs'!$C$59)+('01_Inputs'!$C$59)*('01_Inputs'!$D$59)))*('01_Inputs'!$C$35)+((('01_Inputs'!$C$5)*('01_Inputs'!$C$6)))*('01_Inputs'!$B$59)*('01_Inputs'!$C$14))</x:f>
        <x:v>9126805504</x:v>
      </x:c>
      <x:c r="I39" s="70" t="n">
        <x:f>(0*'01_Inputs'!$C$5)</x:f>
        <x:v>0</x:v>
      </x:c>
      <x:c r="J39" s="70" t="n">
        <x:f>(((('01_Inputs'!$C$5)*('01_Inputs'!$C$6)))*('01_Inputs'!$D$59)*('01_Inputs'!$C$14))</x:f>
        <x:v>536870912</x:v>
      </x:c>
      <x:c r="K39" s="70" t="n">
        <x:f>((1+0*'01_Inputs'!$C$5))*((((IF(('01_Inputs'!$H$59)=1,('01_Inputs'!$C$5),1)))*((('01_Inputs'!$B$59)*('01_Inputs'!$C$59)+('01_Inputs'!$C$59)*('01_Inputs'!$D$59)))*('01_Inputs'!$C$35)+((('01_Inputs'!$C$5)*('01_Inputs'!$C$6)))*('01_Inputs'!$B$59)*('01_Inputs'!$C$14)))+0*('01_Inputs'!$C$5)</x:f>
        <x:v>9126805504</x:v>
      </x:c>
      <x:c r="L39" s="70" t="n">
        <x:f>((1+0*'01_Inputs'!$C$5))*(((0*'01_Inputs'!$C$5))+((((('01_Inputs'!$C$5)*('01_Inputs'!$C$6)))*('01_Inputs'!$D$59)*('01_Inputs'!$C$14))))+0*('01_Inputs'!$C$5)</x:f>
        <x:v>536870912</x:v>
      </x:c>
      <x:c r="M39" s="70" t="n">
        <x:f>(((IF(('01_Inputs'!$H$59)=1,('01_Inputs'!$C$5),1)))*((('01_Inputs'!$B$59)*('01_Inputs'!$C$59)+('01_Inputs'!$C$59)*('01_Inputs'!$D$59)))*(('01_Inputs'!$C$35)+('01_Inputs'!$G$59)*('01_Inputs'!$C$36)))</x:f>
        <x:v>8589934592</x:v>
      </x:c>
      <x:c r="N39" s="67" t="n">
        <x:f>IF((((1+0*'01_Inputs'!$C$5))*(((((IF(('01_Inputs'!$H$59)=1,('01_Inputs'!$C$5),1)))*((('01_Inputs'!$B$59)*('01_Inputs'!$C$59)+('01_Inputs'!$C$59)*('01_Inputs'!$D$59)))*('01_Inputs'!$C$35)+((('01_Inputs'!$C$5)*('01_Inputs'!$C$6)))*('01_Inputs'!$B$59)*('01_Inputs'!$C$14)))+((0*'01_Inputs'!$C$5))+((((('01_Inputs'!$C$5)*('01_Inputs'!$C$6)))*('01_Inputs'!$D$59)*('01_Inputs'!$C$14)))))=0,"",(((1+0*'01_Inputs'!$C$5))*((2*((('01_Inputs'!$C$5)*('01_Inputs'!$C$6)))*((('01_Inputs'!$B$59)*('01_Inputs'!$C$59)+('01_Inputs'!$C$59)*('01_Inputs'!$D$59))))))/((((1+0*'01_Inputs'!$C$5))*(((((IF(('01_Inputs'!$H$59)=1,('01_Inputs'!$C$5),1)))*((('01_Inputs'!$B$59)*('01_Inputs'!$C$59)+('01_Inputs'!$C$59)*('01_Inputs'!$D$59)))*('01_Inputs'!$C$35)+((('01_Inputs'!$C$5)*('01_Inputs'!$C$6)))*('01_Inputs'!$B$59)*('01_Inputs'!$C$14)))+((0*'01_Inputs'!$C$5))+((((('01_Inputs'!$C$5)*('01_Inputs'!$C$6)))*('01_Inputs'!$D$59)*('01_Inputs'!$C$14))))))+0*('01_Inputs'!$C$5))</x:f>
        <x:v>3640.8888888888887</x:v>
      </x:c>
      <x:c r="O39" s="67" t="n">
        <x:f>(((1+0*'01_Inputs'!$C$5))*((2*((('01_Inputs'!$C$5)*('01_Inputs'!$C$6)))*((('01_Inputs'!$B$59)*('01_Inputs'!$C$59)+('01_Inputs'!$C$59)*('01_Inputs'!$D$59)))))/(('01_Inputs'!$C$31)*('02_HW'!$C$6))*('02_HW'!$C$10))</x:f>
        <x:v>35.55873444506969</x:v>
      </x:c>
      <x:c r="P39" s="67" t="n">
        <x:f>(((1+0*'01_Inputs'!$C$5))*(((((IF(('01_Inputs'!$H$59)=1,('01_Inputs'!$C$5),1)))*((('01_Inputs'!$B$59)*('01_Inputs'!$C$59)+('01_Inputs'!$C$59)*('01_Inputs'!$D$59)))*('01_Inputs'!$C$35)+((('01_Inputs'!$C$5)*('01_Inputs'!$C$6)))*('01_Inputs'!$B$59)*('01_Inputs'!$C$14)))+((0*'01_Inputs'!$C$5))+((((('01_Inputs'!$C$5)*('01_Inputs'!$C$6)))*('01_Inputs'!$D$59)*('01_Inputs'!$C$14))))/(('01_Inputs'!$C$32)*('02_HW'!$C$7))*('02_HW'!$C$10))</x:f>
        <x:v>2.884679527164179</x:v>
      </x:c>
      <x:c r="Q39" s="67" t="n">
        <x:f>(MAX((((1+0*'01_Inputs'!$C$5))*((2*((('01_Inputs'!$C$5)*('01_Inputs'!$C$6)))*((('01_Inputs'!$B$59)*('01_Inputs'!$C$59)+('01_Inputs'!$C$59)*('01_Inputs'!$D$59)))))/(('01_Inputs'!$C$31)*('02_HW'!$C$6))*('02_HW'!$C$10)),(((1+0*'01_Inputs'!$C$5))*(((((IF(('01_Inputs'!$H$59)=1,('01_Inputs'!$C$5),1)))*((('01_Inputs'!$B$59)*('01_Inputs'!$C$59)+('01_Inputs'!$C$59)*('01_Inputs'!$D$59)))*('01_Inputs'!$C$35)+((('01_Inputs'!$C$5)*('01_Inputs'!$C$6)))*('01_Inputs'!$B$59)*('01_Inputs'!$C$14)))+((0*'01_Inputs'!$C$5))+((((('01_Inputs'!$C$5)*('01_Inputs'!$C$6)))*('01_Inputs'!$D$59)*('01_Inputs'!$C$14))))/(('01_Inputs'!$C$32)*('02_HW'!$C$7))*('02_HW'!$C$10)))+((1+0*'01_Inputs'!$C$5))*('02_HW'!$C$9)*('02_HW'!$C$10))</x:f>
        <x:v>35.55873444506969</x:v>
      </x:c>
      <x:c r="R39" s="22" t="str">
        <x:f>IF(O39&gt;P39,"compute",IF(P39&gt;O39,"memory","balanced"))&amp;IF('01_Inputs'!$C$5&gt;0,"","")</x:f>
        <x:v>compute</x:v>
      </x:c>
      <x:c r="S39" s="25" t="str">
        <x:v>Read period 1; update period remains separate.</x:v>
      </x:c>
    </x:row>
  </x:sheetData>
  <x:mergeCells>
    <x:mergeCell ref="A1:S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27" hidden="0" customWidth="1"/>
    <x:col min="5" max="5" width="3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  <x:col min="19" max="19" width="42" hidden="0" customWidth="1"/>
  </x:cols>
  <x:sheetData>
    <x:row r="1" ht="28" customHeight="1">
      <x:c r="A1" s="3" t="str">
        <x:v>21 · HOPE decode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58" t="str">
        <x:v>Total FLOPs</x:v>
      </x:c>
      <x:c r="B2" s="59" t="str">
        <x:v>HBM read B</x:v>
      </x:c>
      <x:c r="C2" s="59" t="str">
        <x:v>HBM write B</x:v>
      </x:c>
      <x:c r="D2" s="59" t="str">
        <x:v>HBM total B</x:v>
      </x:c>
      <x:c r="E2" s="59" t="str">
        <x:v>Persistent state B</x:v>
      </x:c>
      <x:c r="F2" s="59" t="str">
        <x:v>AI FLOP/B</x:v>
      </x:c>
      <x:c r="G2" s="59" t="str">
        <x:v>Aggregate compute ms</x:v>
      </x:c>
      <x:c r="H2" s="59" t="str">
        <x:v>Aggregate HBM ms</x:v>
      </x:c>
      <x:c r="I2" s="59" t="str">
        <x:v>Aggregate latency ms</x:v>
      </x:c>
      <x:c r="J2" s="59" t="str">
        <x:v>Stagewise latency ms</x:v>
      </x:c>
      <x:c r="K2" s="59" t="str">
        <x:v>Bound</x:v>
      </x:c>
      <x:c r="L2" s="59" t="str">
        <x:v>HBM fit</x:v>
      </x:c>
      <x:c r="M2" s="59" t="str">
        <x:v>Ridge AI</x:v>
      </x:c>
      <x:c r="N2" s="60" t="str">
        <x:v>Ridge class</x:v>
      </x:c>
      <x:c r="O2" s="71"/>
      <x:c r="P2" s="71"/>
      <x:c r="Q2" s="71"/>
      <x:c r="R2" s="71"/>
      <x:c r="S2" s="71"/>
    </x:row>
    <x:row r="3">
      <x:c r="A3" s="63" t="n">
        <x:f>SUM(G12:G45)+0*('01_Inputs'!$C$5)</x:f>
        <x:v>206193819968</x:v>
      </x:c>
      <x:c r="B3" s="63" t="n">
        <x:f>SUM(K12:K45)+0*('01_Inputs'!$C$5)</x:f>
        <x:v>118207021632</x:v>
      </x:c>
      <x:c r="C3" s="63" t="n">
        <x:f>SUM(L12:L45)+0*('01_Inputs'!$C$5)</x:f>
        <x:v>137463333568</x:v>
      </x:c>
      <x:c r="D3" s="63" t="n">
        <x:f>SUM(K12:L45)+0*('01_Inputs'!$C$5)</x:f>
        <x:v>255670355200</x:v>
      </x:c>
      <x:c r="E3" s="63" t="n">
        <x:f>SUM(M12:M45)+0*('01_Inputs'!$C$5)</x:f>
        <x:v>100934352896</x:v>
      </x:c>
      <x:c r="F3" s="64" t="n">
        <x:f>IF(SUM(K12:L45)=0,"",SUM(G12:G45)/SUM(K12:L45)+0*('01_Inputs'!$C$5))</x:f>
        <x:v>0.806483097372409</x:v>
      </x:c>
      <x:c r="G3" s="64" t="n">
        <x:f>SUM(O12:O45)+0*('01_Inputs'!$C$5)</x:f>
        <x:v>0.20838772594676758</x:v>
      </x:c>
      <x:c r="H3" s="64" t="n">
        <x:f>SUM(P12:P45)+0*('01_Inputs'!$C$5)</x:f>
        <x:v>76.31950901492539</x:v>
      </x:c>
      <x:c r="I3" s="64" t="n">
        <x:f>MAX(SUM(O12:O45),SUM(P12:P45))+0*('01_Inputs'!$C$5)</x:f>
        <x:v>76.31950901492539</x:v>
      </x:c>
      <x:c r="J3" s="64" t="n">
        <x:f>SUM(Q12:Q45)+0*('01_Inputs'!$C$5)</x:f>
        <x:v>76.35361546016657</x:v>
      </x:c>
      <x:c r="K3" s="62" t="str">
        <x:f>IF(SUM(O12:O45)&gt;SUM(P12:P45),"compute",IF(SUM(P12:P45)&gt;SUM(O12:O45),"memory","balanced"))&amp;IF('01_Inputs'!$C$5&gt;0,"","")</x:f>
        <x:v>memory</x:v>
      </x:c>
      <x:c r="L3" s="62" t="str">
        <x:f>IF(SUM(M12:M45)&lt;='02_HW'!$C$8,"FIT","EXCEEDS")&amp;IF('01_Inputs'!$C$5&gt;0,"","")</x:f>
        <x:v>EXCEEDS</x:v>
      </x:c>
      <x:c r="M3" s="64" t="n">
        <x:f>'02_HW'!$C$6/'02_HW'!$C$7+0*('01_Inputs'!$C$5)</x:f>
        <x:v>295.36477611940296</x:v>
      </x:c>
      <x:c r="N3" s="62" t="str">
        <x:f>IF(F3&gt;=M3,"compute-side","memory-side")&amp;IF('01_Inputs'!$C$5&gt;0,"","")</x:f>
        <x:v>memory-side</x:v>
      </x:c>
      <x:c r="O3" s="72"/>
      <x:c r="P3" s="72"/>
      <x:c r="Q3" s="72"/>
      <x:c r="R3" s="72"/>
      <x:c r="S3" s="72"/>
    </x:row>
    <x:row r="5">
      <x:c r="A5" s="39" t="str">
        <x:v>Timing</x:v>
      </x:c>
      <x:c r="B5" s="40" t="str">
        <x:v>Stagewise ms</x:v>
      </x:c>
      <x:c r="C5" s="40" t="str">
        <x:v>Effective HBM B</x:v>
      </x:c>
      <x:c r="D5" s="40" t="str">
        <x:v>Persistent state B</x:v>
      </x:c>
      <x:c r="E5" s="41" t="str">
        <x:v>HBM fit</x:v>
      </x:c>
    </x:row>
    <x:row r="6">
      <x:c r="A6" s="20" t="str">
        <x:v>normal</x:v>
      </x:c>
      <x:c r="B6" s="65" t="n">
        <x:f>SUM(Q12:Q45)-(Q22+Q27+Q32+Q37+Q42)+0*('01_Inputs'!$C$5)</x:f>
        <x:v>76.34359890613672</x:v>
      </x:c>
      <x:c r="C6" s="73" t="n">
        <x:f>SUM(K12:L45)-((K22+L22)+(K27+L27)+(K32+L32)+(K37+L37)+(K42+L42))+0*('01_Inputs'!$C$5)</x:f>
        <x:v>255636799744</x:v>
      </x:c>
      <x:c r="D6" s="73" t="n">
        <x:f>SUM(M12:M45)+0*('01_Inputs'!$C$5)</x:f>
        <x:v>100934352896</x:v>
      </x:c>
      <x:c r="E6" s="20" t="str">
        <x:f>IF(SUM(M12:M45)&lt;='02_HW'!$C$8,"FIT","EXCEEDS")&amp;IF('01_Inputs'!$C$5&gt;0,"","")</x:f>
        <x:v>EXCEEDS</x:v>
      </x:c>
    </x:row>
    <x:row r="7">
      <x:c r="A7" s="21" t="str">
        <x:v>boundary</x:v>
      </x:c>
      <x:c r="B7" s="66" t="n">
        <x:f>SUM(Q12:Q45)-(Q22+Q27+Q32+Q37+Q42)+(Q22*('01_Inputs'!$E$48)+Q27*('01_Inputs'!$E$49)+Q32*('01_Inputs'!$E$50)+Q37*('01_Inputs'!$E$51)+Q42*('01_Inputs'!$E$52))+0*('01_Inputs'!$C$5)</x:f>
        <x:v>96.85750155927104</x:v>
      </x:c>
      <x:c r="C7" s="74" t="n">
        <x:f>SUM(K12:L45)-((K22+L22)+(K27+L27)+(K32+L32)+(K37+L37)+(K42+L42))+((K22+L22)*('01_Inputs'!$E$48)+(K27+L27)*('01_Inputs'!$E$49)+(K32+L32)*('01_Inputs'!$E$50)+(K37+L37)*('01_Inputs'!$E$51)+(K42+L42)*('01_Inputs'!$E$52))+0*('01_Inputs'!$C$5)</x:f>
        <x:v>324358373632</x:v>
      </x:c>
      <x:c r="D7" s="74" t="n">
        <x:f>SUM(M12:M45)+0*('01_Inputs'!$C$5)</x:f>
        <x:v>100934352896</x:v>
      </x:c>
      <x:c r="E7" s="21" t="str">
        <x:f>IF(SUM(M12:M45)&lt;='02_HW'!$C$8,"FIT","EXCEEDS")&amp;IF('01_Inputs'!$C$5&gt;0,"","")</x:f>
        <x:v>EXCEEDS</x:v>
      </x:c>
    </x:row>
    <x:row r="8">
      <x:c r="A8" s="22" t="str">
        <x:v>amortized</x:v>
      </x:c>
      <x:c r="B8" s="67" t="n">
        <x:f>SUM(Q12:Q45)+0*('01_Inputs'!$C$5)</x:f>
        <x:v>76.35361546016657</x:v>
      </x:c>
      <x:c r="C8" s="75" t="n">
        <x:f>SUM(K12:L45)+0*('01_Inputs'!$C$5)</x:f>
        <x:v>255670355200</x:v>
      </x:c>
      <x:c r="D8" s="75" t="n">
        <x:f>SUM(M12:M45)+0*('01_Inputs'!$C$5)</x:f>
        <x:v>100934352896</x:v>
      </x:c>
      <x:c r="E8" s="22" t="str">
        <x:f>IF(SUM(M12:M45)&lt;='02_HW'!$C$8,"FIT","EXCEEDS")&amp;IF('01_Inputs'!$C$5&gt;0,"","")</x:f>
        <x:v>EXCEEDS</x:v>
      </x:c>
    </x:row>
    <x:row r="11" ht="34" customHeight="1">
      <x:c r="A11" s="14" t="str">
        <x:v>Order</x:v>
      </x:c>
      <x:c r="B11" s="28" t="str">
        <x:v>Phase</x:v>
      </x:c>
      <x:c r="C11" s="28" t="str">
        <x:v>Component</x:v>
      </x:c>
      <x:c r="D11" s="28" t="str">
        <x:v>Stage</x:v>
      </x:c>
      <x:c r="E11" s="28" t="str">
        <x:v>Symbolic equation</x:v>
      </x:c>
      <x:c r="F11" s="28" t="str">
        <x:v>Executions/cadence</x:v>
      </x:c>
      <x:c r="G11" s="28" t="str">
        <x:v>FLOPs</x:v>
      </x:c>
      <x:c r="H11" s="28" t="str">
        <x:v>Required read B</x:v>
      </x:c>
      <x:c r="I11" s="28" t="str">
        <x:v>Mandatory write B</x:v>
      </x:c>
      <x:c r="J11" s="28" t="str">
        <x:v>Temporary/fusible write B</x:v>
      </x:c>
      <x:c r="K11" s="28" t="str">
        <x:v>Effective read B</x:v>
      </x:c>
      <x:c r="L11" s="28" t="str">
        <x:v>Effective write B</x:v>
      </x:c>
      <x:c r="M11" s="28" t="str">
        <x:v>Persistent state B</x:v>
      </x:c>
      <x:c r="N11" s="28" t="str">
        <x:v>AI</x:v>
      </x:c>
      <x:c r="O11" s="28" t="str">
        <x:v>Compute ms</x:v>
      </x:c>
      <x:c r="P11" s="28" t="str">
        <x:v>HBM ms</x:v>
      </x:c>
      <x:c r="Q11" s="28" t="str">
        <x:v>Roofline ms</x:v>
      </x:c>
      <x:c r="R11" s="28" t="str">
        <x:v>Bound</x:v>
      </x:c>
      <x:c r="S11" s="15" t="str">
        <x:v>Evidence/assumption</x:v>
      </x:c>
    </x:row>
    <x:row r="12">
      <x:c r="A12" s="20" t="n">
        <x:f>ROW()-11+0*('01_Inputs'!$C$5)</x:f>
        <x:v>1</x:v>
      </x:c>
      <x:c r="B12" s="20" t="str">
        <x:v>decode</x:v>
      </x:c>
      <x:c r="C12" s="20" t="str">
        <x:v>titans</x:v>
      </x:c>
      <x:c r="D12" s="20" t="str">
        <x:v>static_q_projection</x:v>
      </x:c>
      <x:c r="E12" s="23" t="str">
        <x:v>2ND²</x:v>
      </x:c>
      <x:c r="F12" s="65" t="n">
        <x:f>(1+0*'01_Inputs'!$C$5)</x:f>
        <x:v>1</x:v>
      </x:c>
      <x:c r="G12" s="68" t="n">
        <x:f>(2*((('01_Inputs'!$C$5)*('01_Inputs'!$C$8)))*('01_Inputs'!$C$10)*('01_Inputs'!$C$10))</x:f>
        <x:v>4294967296</x:v>
      </x:c>
      <x:c r="H12" s="68" t="n">
        <x:f>(((((('01_Inputs'!$C$5)*('01_Inputs'!$C$8)))*('01_Inputs'!$C$10)*('01_Inputs'!$C$14)))+('01_Inputs'!$C$10)*('01_Inputs'!$C$10)*('01_Inputs'!$C$15))</x:f>
        <x:v>67371008</x:v>
      </x:c>
      <x:c r="I12" s="68" t="n">
        <x:f>(0*'01_Inputs'!$C$5)</x:f>
        <x:v>0</x:v>
      </x:c>
      <x:c r="J12" s="68" t="n">
        <x:f>(((('01_Inputs'!$C$5)*('01_Inputs'!$C$8)))*('01_Inputs'!$C$10)*('01_Inputs'!$C$14))</x:f>
        <x:v>262144</x:v>
      </x:c>
      <x:c r="K12" s="68" t="n">
        <x:f>((1+0*'01_Inputs'!$C$5))*((((((('01_Inputs'!$C$5)*('01_Inputs'!$C$8)))*('01_Inputs'!$C$10)*('01_Inputs'!$C$14)))+('01_Inputs'!$C$10)*('01_Inputs'!$C$10)*('01_Inputs'!$C$15)))+0*('01_Inputs'!$C$5)</x:f>
        <x:v>67371008</x:v>
      </x:c>
      <x:c r="L12" s="68" t="n">
        <x:f>((1+0*'01_Inputs'!$C$5))*(((0*'01_Inputs'!$C$5))+((((('01_Inputs'!$C$5)*('01_Inputs'!$C$8)))*('01_Inputs'!$C$10)*('01_Inputs'!$C$14))))+0*('01_Inputs'!$C$5)</x:f>
        <x:v>262144</x:v>
      </x:c>
      <x:c r="M12" s="68" t="n">
        <x:f>(('01_Inputs'!$C$5)*('01_Inputs'!$C$39))</x:f>
        <x:v>0</x:v>
      </x:c>
      <x:c r="N12" s="65" t="n">
        <x:f>IF((((1+0*'01_Inputs'!$C$5))*(((((((('01_Inputs'!$C$5)*('01_Inputs'!$C$8)))*('01_Inputs'!$C$10)*('01_Inputs'!$C$14)))+('01_Inputs'!$C$10)*('01_Inputs'!$C$10)*('01_Inputs'!$C$15)))+((0*'01_Inputs'!$C$5))+((((('01_Inputs'!$C$5)*('01_Inputs'!$C$8)))*('01_Inputs'!$C$10)*('01_Inputs'!$C$14)))))=0,"",(((1+0*'01_Inputs'!$C$5))*((2*((('01_Inputs'!$C$5)*('01_Inputs'!$C$8)))*('01_Inputs'!$C$10)*('01_Inputs'!$C$10))))/((((1+0*'01_Inputs'!$C$5))*(((((((('01_Inputs'!$C$5)*('01_Inputs'!$C$8)))*('01_Inputs'!$C$10)*('01_Inputs'!$C$14)))+('01_Inputs'!$C$10)*('01_Inputs'!$C$10)*('01_Inputs'!$C$15)))+((0*'01_Inputs'!$C$5))+((((('01_Inputs'!$C$5)*('01_Inputs'!$C$8)))*('01_Inputs'!$C$10)*('01_Inputs'!$C$14))))))+0*('01_Inputs'!$C$5))</x:f>
        <x:v>63.50387596899225</x:v>
      </x:c>
      <x:c r="O12" s="65" t="n">
        <x:f>(((1+0*'01_Inputs'!$C$5))*((2*((('01_Inputs'!$C$5)*('01_Inputs'!$C$8)))*('01_Inputs'!$C$10)*('01_Inputs'!$C$10)))/(('01_Inputs'!$C$31)*('02_HW'!$C$6))*('02_HW'!$C$10))</x:f>
        <x:v>0.004340665825814171</x:v>
      </x:c>
      <x:c r="P12" s="65" t="n">
        <x:f>(((1+0*'01_Inputs'!$C$5))*(((((((('01_Inputs'!$C$5)*('01_Inputs'!$C$8)))*('01_Inputs'!$C$10)*('01_Inputs'!$C$14)))+('01_Inputs'!$C$10)*('01_Inputs'!$C$10)*('01_Inputs'!$C$15)))+((0*'01_Inputs'!$C$5))+((((('01_Inputs'!$C$5)*('01_Inputs'!$C$8)))*('01_Inputs'!$C$10)*('01_Inputs'!$C$14))))/(('01_Inputs'!$C$32)*('02_HW'!$C$7))*('02_HW'!$C$10))</x:f>
        <x:v>0.020189000597014926</x:v>
      </x:c>
      <x:c r="Q12" s="65" t="n">
        <x:f>(MAX((((1+0*'01_Inputs'!$C$5))*((2*((('01_Inputs'!$C$5)*('01_Inputs'!$C$8)))*('01_Inputs'!$C$10)*('01_Inputs'!$C$10)))/(('01_Inputs'!$C$31)*('02_HW'!$C$6))*('02_HW'!$C$10)),(((1+0*'01_Inputs'!$C$5))*(((((((('01_Inputs'!$C$5)*('01_Inputs'!$C$8)))*('01_Inputs'!$C$10)*('01_Inputs'!$C$14)))+('01_Inputs'!$C$10)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R12" s="20" t="str">
        <x:f>IF(O12&gt;P12,"compute",IF(P12&gt;O12,"memory","balanced"))&amp;IF('01_Inputs'!$C$5&gt;0,"","")</x:f>
        <x:v>memory</x:v>
      </x:c>
      <x:c r="S12" s="23" t="str">
        <x:v>Static q=xWq; Wq is not mutable state.</x:v>
      </x:c>
    </x:row>
    <x:row r="13">
      <x:c r="A13" s="21" t="n">
        <x:f>ROW()-11+0*('01_Inputs'!$C$5)</x:f>
        <x:v>2</x:v>
      </x:c>
      <x:c r="B13" s="21" t="str">
        <x:v>decode</x:v>
      </x:c>
      <x:c r="C13" s="21" t="str">
        <x:v>titans</x:v>
      </x:c>
      <x:c r="D13" s="21" t="str">
        <x:v>M_k_forward</x:v>
      </x:c>
      <x:c r="E13" s="24" t="str">
        <x:v>2NP + nonlinear terms</x:v>
      </x:c>
      <x:c r="F13" s="66" t="n">
        <x:f>(1+0*'01_Inputs'!$C$5)</x:f>
        <x:v>1</x:v>
      </x:c>
      <x:c r="G13" s="69" t="n">
        <x:f>(2*((('01_Inputs'!$C$5)*('01_Inputs'!$C$8)))*((('01_Inputs'!$B$48)*('01_Inputs'!$C$48)+('01_Inputs'!$C$48)*('01_Inputs'!$D$48)))+((('01_Inputs'!$C$5)*('01_Inputs'!$C$8)))*(('01_Inputs'!$C$37)*('01_Inputs'!$C$48)+('01_Inputs'!$C$38)*('01_Inputs'!$D$48)))</x:f>
        <x:v>8591245312</x:v>
      </x:c>
      <x:c r="H13" s="69" t="n">
        <x:f>(((((('01_Inputs'!$C$5)*('01_Inputs'!$C$8)))*('01_Inputs'!$B$48)*('01_Inputs'!$C$14)))+('01_Inputs'!$C$5)*((('01_Inputs'!$B$48)*('01_Inputs'!$C$48)+('01_Inputs'!$C$48)*('01_Inputs'!$D$48)))*('01_Inputs'!$C$35)*('01_Inputs'!$H$48))</x:f>
        <x:v>4295229440</x:v>
      </x:c>
      <x:c r="I13" s="69" t="n">
        <x:f>(0*'01_Inputs'!$C$5)</x:f>
        <x:v>0</x:v>
      </x:c>
      <x:c r="J13" s="69" t="n">
        <x:f>(((('01_Inputs'!$C$5)*('01_Inputs'!$C$8)))*('01_Inputs'!$D$48)*('01_Inputs'!$C$14))</x:f>
        <x:v>262144</x:v>
      </x:c>
      <x:c r="K13" s="69" t="n">
        <x:f>((1+0*'01_Inputs'!$C$5))*((((((('01_Inputs'!$C$5)*('01_Inputs'!$C$8)))*('01_Inputs'!$B$48)*('01_Inputs'!$C$14)))+('01_Inputs'!$C$5)*((('01_Inputs'!$B$48)*('01_Inputs'!$C$48)+('01_Inputs'!$C$48)*('01_Inputs'!$D$48)))*('01_Inputs'!$C$35)*('01_Inputs'!$H$48)))+0*('01_Inputs'!$C$5)</x:f>
        <x:v>4295229440</x:v>
      </x:c>
      <x:c r="L13" s="69" t="n">
        <x:f>((1+0*'01_Inputs'!$C$5))*(((0*'01_Inputs'!$C$5))+((((('01_Inputs'!$C$5)*('01_Inputs'!$C$8)))*('01_Inputs'!$D$48)*('01_Inputs'!$C$14))))+0*('01_Inputs'!$C$5)</x:f>
        <x:v>262144</x:v>
      </x:c>
      <x:c r="M13" s="69" t="n">
        <x:f>(('01_Inputs'!$C$5)*((('01_Inputs'!$B$48)*('01_Inputs'!$C$48)+('01_Inputs'!$C$48)*('01_Inputs'!$D$48)))*(('01_Inputs'!$C$35)+('01_Inputs'!$F$48)*('01_Inputs'!$C$36)))</x:f>
        <x:v>21474836480</x:v>
      </x:c>
      <x:c r="N13" s="66" t="n">
        <x:f>IF(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)=0,"",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)/(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))+0*('01_Inputs'!$C$5))</x:f>
        <x:v>2.000061027706579</x:v>
      </x:c>
      <x:c r="O13" s="66" t="n">
        <x:f>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/(('01_Inputs'!$C$31)*('02_HW'!$C$6))*('02_HW'!$C$10))</x:f>
        <x:v>0.00868265631771288</x:v>
      </x:c>
      <x:c r="P13" s="66" t="n">
        <x:f>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/(('01_Inputs'!$C$32)*('02_HW'!$C$7))*('02_HW'!$C$10))</x:f>
        <x:v>1.2822362937313432</x:v>
      </x:c>
      <x:c r="Q13" s="66" t="n">
        <x:f>(MAX(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/(('01_Inputs'!$C$31)*('02_HW'!$C$6))*('02_HW'!$C$10)),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/(('01_Inputs'!$C$32)*('02_HW'!$C$7))*('02_HW'!$C$10)))+((1+0*'01_Inputs'!$C$5))*('02_HW'!$C$9)*('02_HW'!$C$10))</x:f>
        <x:v>1.2822362937313432</x:v>
      </x:c>
      <x:c r="R13" s="21" t="str">
        <x:f>IF(O13&gt;P13,"compute",IF(P13&gt;O13,"memory","balanced"))&amp;IF('01_Inputs'!$C$5&gt;0,"","")</x:f>
        <x:v>memory</x:v>
      </x:c>
      <x:c r="S13" s="24" t="str">
        <x:v>Request-local mutable memory forward.</x:v>
      </x:c>
    </x:row>
    <x:row r="14">
      <x:c r="A14" s="21" t="n">
        <x:f>ROW()-11+0*('01_Inputs'!$C$5)</x:f>
        <x:v>3</x:v>
      </x:c>
      <x:c r="B14" s="21" t="str">
        <x:v>decode</x:v>
      </x:c>
      <x:c r="C14" s="21" t="str">
        <x:v>titans</x:v>
      </x:c>
      <x:c r="D14" s="21" t="str">
        <x:v>M_v_forward</x:v>
      </x:c>
      <x:c r="E14" s="24" t="str">
        <x:v>2NP + nonlinear terms</x:v>
      </x:c>
      <x:c r="F14" s="66" t="n">
        <x:f>(1+0*'01_Inputs'!$C$5)</x:f>
        <x:v>1</x:v>
      </x:c>
      <x:c r="G14" s="69" t="n">
        <x:f>(2*((('01_Inputs'!$C$5)*('01_Inputs'!$C$8)))*((('01_Inputs'!$B$49)*('01_Inputs'!$C$49)+('01_Inputs'!$C$49)*('01_Inputs'!$D$49)))+((('01_Inputs'!$C$5)*('01_Inputs'!$C$8)))*(('01_Inputs'!$C$37)*('01_Inputs'!$C$49)+('01_Inputs'!$C$38)*('01_Inputs'!$D$49)))</x:f>
        <x:v>8591245312</x:v>
      </x:c>
      <x:c r="H14" s="69" t="n">
        <x:f>(((((('01_Inputs'!$C$5)*('01_Inputs'!$C$8)))*('01_Inputs'!$B$49)*('01_Inputs'!$C$14)))+('01_Inputs'!$C$5)*((('01_Inputs'!$B$49)*('01_Inputs'!$C$49)+('01_Inputs'!$C$49)*('01_Inputs'!$D$49)))*('01_Inputs'!$C$35)*('01_Inputs'!$H$49))</x:f>
        <x:v>4295229440</x:v>
      </x:c>
      <x:c r="I14" s="69" t="n">
        <x:f>(0*'01_Inputs'!$C$5)</x:f>
        <x:v>0</x:v>
      </x:c>
      <x:c r="J14" s="69" t="n">
        <x:f>(((('01_Inputs'!$C$5)*('01_Inputs'!$C$8)))*('01_Inputs'!$D$49)*('01_Inputs'!$C$14))</x:f>
        <x:v>262144</x:v>
      </x:c>
      <x:c r="K14" s="69" t="n">
        <x:f>((1+0*'01_Inputs'!$C$5))*((((((('01_Inputs'!$C$5)*('01_Inputs'!$C$8)))*('01_Inputs'!$B$49)*('01_Inputs'!$C$14)))+('01_Inputs'!$C$5)*((('01_Inputs'!$B$49)*('01_Inputs'!$C$49)+('01_Inputs'!$C$49)*('01_Inputs'!$D$49)))*('01_Inputs'!$C$35)*('01_Inputs'!$H$49)))+0*('01_Inputs'!$C$5)</x:f>
        <x:v>4295229440</x:v>
      </x:c>
      <x:c r="L14" s="69" t="n">
        <x:f>((1+0*'01_Inputs'!$C$5))*(((0*'01_Inputs'!$C$5))+((((('01_Inputs'!$C$5)*('01_Inputs'!$C$8)))*('01_Inputs'!$D$49)*('01_Inputs'!$C$14))))+0*('01_Inputs'!$C$5)</x:f>
        <x:v>262144</x:v>
      </x:c>
      <x:c r="M14" s="69" t="n">
        <x:f>(('01_Inputs'!$C$5)*((('01_Inputs'!$B$49)*('01_Inputs'!$C$49)+('01_Inputs'!$C$49)*('01_Inputs'!$D$49)))*(('01_Inputs'!$C$35)+('01_Inputs'!$F$49)*('01_Inputs'!$C$36)))</x:f>
        <x:v>21474836480</x:v>
      </x:c>
      <x:c r="N14" s="66" t="n">
        <x:f>IF(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)=0,"",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)/(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))+0*('01_Inputs'!$C$5))</x:f>
        <x:v>2.000061027706579</x:v>
      </x:c>
      <x:c r="O14" s="66" t="n">
        <x:f>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/(('01_Inputs'!$C$31)*('02_HW'!$C$6))*('02_HW'!$C$10))</x:f>
        <x:v>0.00868265631771288</x:v>
      </x:c>
      <x:c r="P14" s="66" t="n">
        <x:f>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/(('01_Inputs'!$C$32)*('02_HW'!$C$7))*('02_HW'!$C$10))</x:f>
        <x:v>1.2822362937313432</x:v>
      </x:c>
      <x:c r="Q14" s="66" t="n">
        <x:f>(MAX(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/(('01_Inputs'!$C$31)*('02_HW'!$C$6))*('02_HW'!$C$10)),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/(('01_Inputs'!$C$32)*('02_HW'!$C$7))*('02_HW'!$C$10)))+((1+0*'01_Inputs'!$C$5))*('02_HW'!$C$9)*('02_HW'!$C$10))</x:f>
        <x:v>1.2822362937313432</x:v>
      </x:c>
      <x:c r="R14" s="21" t="str">
        <x:f>IF(O14&gt;P14,"compute",IF(P14&gt;O14,"memory","balanced"))&amp;IF('01_Inputs'!$C$5&gt;0,"","")</x:f>
        <x:v>memory</x:v>
      </x:c>
      <x:c r="S14" s="24" t="str">
        <x:v>Request-local mutable memory forward.</x:v>
      </x:c>
    </x:row>
    <x:row r="15">
      <x:c r="A15" s="21" t="n">
        <x:f>ROW()-11+0*('01_Inputs'!$C$5)</x:f>
        <x:v>4</x:v>
      </x:c>
      <x:c r="B15" s="21" t="str">
        <x:v>decode</x:v>
      </x:c>
      <x:c r="C15" s="21" t="str">
        <x:v>titans</x:v>
      </x:c>
      <x:c r="D15" s="21" t="str">
        <x:v>M_eta_forward</x:v>
      </x:c>
      <x:c r="E15" s="24" t="str">
        <x:v>2NP + nonlinear terms</x:v>
      </x:c>
      <x:c r="F15" s="66" t="n">
        <x:f>(1+0*'01_Inputs'!$C$5)</x:f>
        <x:v>1</x:v>
      </x:c>
      <x:c r="G15" s="69" t="n">
        <x:f>(2*((('01_Inputs'!$C$5)*('01_Inputs'!$C$8)))*((('01_Inputs'!$B$50)*('01_Inputs'!$C$50)+('01_Inputs'!$C$50)*('01_Inputs'!$D$50)))+((('01_Inputs'!$C$5)*('01_Inputs'!$C$8)))*(('01_Inputs'!$C$37)*('01_Inputs'!$C$50)+('01_Inputs'!$C$38)*('01_Inputs'!$D$50)))</x:f>
        <x:v>4296540192</x:v>
      </x:c>
      <x:c r="H15" s="69" t="n">
        <x:f>(((((('01_Inputs'!$C$5)*('01_Inputs'!$C$8)))*('01_Inputs'!$B$50)*('01_Inputs'!$C$14)))+('01_Inputs'!$C$5)*((('01_Inputs'!$B$50)*('01_Inputs'!$C$50)+('01_Inputs'!$C$50)*('01_Inputs'!$D$50)))*('01_Inputs'!$C$35)*('01_Inputs'!$H$50))</x:f>
        <x:v>2148007936</x:v>
      </x:c>
      <x:c r="I15" s="69" t="n">
        <x:f>(0*'01_Inputs'!$C$5)</x:f>
        <x:v>0</x:v>
      </x:c>
      <x:c r="J15" s="69" t="n">
        <x:f>(((('01_Inputs'!$C$5)*('01_Inputs'!$C$8)))*('01_Inputs'!$D$50)*('01_Inputs'!$C$14))</x:f>
        <x:v>32</x:v>
      </x:c>
      <x:c r="K15" s="69" t="n">
        <x:f>((1+0*'01_Inputs'!$C$5))*((((((('01_Inputs'!$C$5)*('01_Inputs'!$C$8)))*('01_Inputs'!$B$50)*('01_Inputs'!$C$14)))+('01_Inputs'!$C$5)*((('01_Inputs'!$B$50)*('01_Inputs'!$C$50)+('01_Inputs'!$C$50)*('01_Inputs'!$D$50)))*('01_Inputs'!$C$35)*('01_Inputs'!$H$50)))+0*('01_Inputs'!$C$5)</x:f>
        <x:v>2148007936</x:v>
      </x:c>
      <x:c r="L15" s="69" t="n">
        <x:f>((1+0*'01_Inputs'!$C$5))*(((0*'01_Inputs'!$C$5))+((((('01_Inputs'!$C$5)*('01_Inputs'!$C$8)))*('01_Inputs'!$D$50)*('01_Inputs'!$C$14))))+0*('01_Inputs'!$C$5)</x:f>
        <x:v>32</x:v>
      </x:c>
      <x:c r="M15" s="69" t="n">
        <x:f>(('01_Inputs'!$C$5)*((('01_Inputs'!$B$50)*('01_Inputs'!$C$50)+('01_Inputs'!$C$50)*('01_Inputs'!$D$50)))*(('01_Inputs'!$C$35)+('01_Inputs'!$F$50)*('01_Inputs'!$C$36)))</x:f>
        <x:v>10738728960</x:v>
      </x:c>
      <x:c r="N15" s="66" t="n">
        <x:f>IF(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)=0,"",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)/(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))+0*('01_Inputs'!$C$5))</x:f>
        <x:v>2.0002440661337437</x:v>
      </x:c>
      <x:c r="O15" s="66" t="n">
        <x:f>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/(('01_Inputs'!$C$31)*('02_HW'!$C$6))*('02_HW'!$C$10))</x:f>
        <x:v>0.004342255457456098</x:v>
      </x:c>
      <x:c r="P15" s="66" t="n">
        <x:f>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/(('01_Inputs'!$C$32)*('02_HW'!$C$7))*('02_HW'!$C$10))</x:f>
        <x:v>0.6411964083582089</x:v>
      </x:c>
      <x:c r="Q15" s="66" t="n">
        <x:f>(MAX(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/(('01_Inputs'!$C$31)*('02_HW'!$C$6))*('02_HW'!$C$10)),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/(('01_Inputs'!$C$32)*('02_HW'!$C$7))*('02_HW'!$C$10)))+((1+0*'01_Inputs'!$C$5))*('02_HW'!$C$9)*('02_HW'!$C$10))</x:f>
        <x:v>0.6411964083582089</x:v>
      </x:c>
      <x:c r="R15" s="21" t="str">
        <x:f>IF(O15&gt;P15,"compute",IF(P15&gt;O15,"memory","balanced"))&amp;IF('01_Inputs'!$C$5&gt;0,"","")</x:f>
        <x:v>memory</x:v>
      </x:c>
      <x:c r="S15" s="24" t="str">
        <x:v>Request-local mutable memory forward.</x:v>
      </x:c>
    </x:row>
    <x:row r="16">
      <x:c r="A16" s="21" t="n">
        <x:f>ROW()-11+0*('01_Inputs'!$C$5)</x:f>
        <x:v>5</x:v>
      </x:c>
      <x:c r="B16" s="21" t="str">
        <x:v>decode</x:v>
      </x:c>
      <x:c r="C16" s="21" t="str">
        <x:v>titans</x:v>
      </x:c>
      <x:c r="D16" s="21" t="str">
        <x:v>M_alpha_forward</x:v>
      </x:c>
      <x:c r="E16" s="24" t="str">
        <x:v>2NP + nonlinear terms</x:v>
      </x:c>
      <x:c r="F16" s="66" t="n">
        <x:f>(1+0*'01_Inputs'!$C$5)</x:f>
        <x:v>1</x:v>
      </x:c>
      <x:c r="G16" s="69" t="n">
        <x:f>(2*((('01_Inputs'!$C$5)*('01_Inputs'!$C$8)))*((('01_Inputs'!$B$51)*('01_Inputs'!$C$51)+('01_Inputs'!$C$51)*('01_Inputs'!$D$51)))+((('01_Inputs'!$C$5)*('01_Inputs'!$C$8)))*(('01_Inputs'!$C$37)*('01_Inputs'!$C$51)+('01_Inputs'!$C$38)*('01_Inputs'!$D$51)))</x:f>
        <x:v>4296540192</x:v>
      </x:c>
      <x:c r="H16" s="69" t="n">
        <x:f>(((((('01_Inputs'!$C$5)*('01_Inputs'!$C$8)))*('01_Inputs'!$B$51)*('01_Inputs'!$C$14)))+('01_Inputs'!$C$5)*((('01_Inputs'!$B$51)*('01_Inputs'!$C$51)+('01_Inputs'!$C$51)*('01_Inputs'!$D$51)))*('01_Inputs'!$C$35)*('01_Inputs'!$H$51))</x:f>
        <x:v>2148007936</x:v>
      </x:c>
      <x:c r="I16" s="69" t="n">
        <x:f>(0*'01_Inputs'!$C$5)</x:f>
        <x:v>0</x:v>
      </x:c>
      <x:c r="J16" s="69" t="n">
        <x:f>(((('01_Inputs'!$C$5)*('01_Inputs'!$C$8)))*('01_Inputs'!$D$51)*('01_Inputs'!$C$14))</x:f>
        <x:v>32</x:v>
      </x:c>
      <x:c r="K16" s="69" t="n">
        <x:f>((1+0*'01_Inputs'!$C$5))*((((((('01_Inputs'!$C$5)*('01_Inputs'!$C$8)))*('01_Inputs'!$B$51)*('01_Inputs'!$C$14)))+('01_Inputs'!$C$5)*((('01_Inputs'!$B$51)*('01_Inputs'!$C$51)+('01_Inputs'!$C$51)*('01_Inputs'!$D$51)))*('01_Inputs'!$C$35)*('01_Inputs'!$H$51)))+0*('01_Inputs'!$C$5)</x:f>
        <x:v>2148007936</x:v>
      </x:c>
      <x:c r="L16" s="69" t="n">
        <x:f>((1+0*'01_Inputs'!$C$5))*(((0*'01_Inputs'!$C$5))+((((('01_Inputs'!$C$5)*('01_Inputs'!$C$8)))*('01_Inputs'!$D$51)*('01_Inputs'!$C$14))))+0*('01_Inputs'!$C$5)</x:f>
        <x:v>32</x:v>
      </x:c>
      <x:c r="M16" s="69" t="n">
        <x:f>(('01_Inputs'!$C$5)*((('01_Inputs'!$B$51)*('01_Inputs'!$C$51)+('01_Inputs'!$C$51)*('01_Inputs'!$D$51)))*(('01_Inputs'!$C$35)+('01_Inputs'!$F$51)*('01_Inputs'!$C$36)))</x:f>
        <x:v>10738728960</x:v>
      </x:c>
      <x:c r="N16" s="66" t="n">
        <x:f>IF(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)=0,"",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)/(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))+0*('01_Inputs'!$C$5))</x:f>
        <x:v>2.0002440661337437</x:v>
      </x:c>
      <x:c r="O16" s="66" t="n">
        <x:f>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/(('01_Inputs'!$C$31)*('02_HW'!$C$6))*('02_HW'!$C$10))</x:f>
        <x:v>0.004342255457456098</x:v>
      </x:c>
      <x:c r="P16" s="66" t="n">
        <x:f>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/(('01_Inputs'!$C$32)*('02_HW'!$C$7))*('02_HW'!$C$10))</x:f>
        <x:v>0.6411964083582089</x:v>
      </x:c>
      <x:c r="Q16" s="66" t="n">
        <x:f>(MAX(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/(('01_Inputs'!$C$31)*('02_HW'!$C$6))*('02_HW'!$C$10)),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/(('01_Inputs'!$C$32)*('02_HW'!$C$7))*('02_HW'!$C$10)))+((1+0*'01_Inputs'!$C$5))*('02_HW'!$C$9)*('02_HW'!$C$10))</x:f>
        <x:v>0.6411964083582089</x:v>
      </x:c>
      <x:c r="R16" s="21" t="str">
        <x:f>IF(O16&gt;P16,"compute",IF(P16&gt;O16,"memory","balanced"))&amp;IF('01_Inputs'!$C$5&gt;0,"","")</x:f>
        <x:v>memory</x:v>
      </x:c>
      <x:c r="S16" s="24" t="str">
        <x:v>Request-local mutable memory forward.</x:v>
      </x:c>
    </x:row>
    <x:row r="17">
      <x:c r="A17" s="21" t="n">
        <x:f>ROW()-11+0*('01_Inputs'!$C$5)</x:f>
        <x:v>6</x:v>
      </x:c>
      <x:c r="B17" s="21" t="str">
        <x:v>decode</x:v>
      </x:c>
      <x:c r="C17" s="21" t="str">
        <x:v>titans</x:v>
      </x:c>
      <x:c r="D17" s="21" t="str">
        <x:v>M_mem_forward</x:v>
      </x:c>
      <x:c r="E17" s="24" t="str">
        <x:v>2NP + nonlinear terms</x:v>
      </x:c>
      <x:c r="F17" s="66" t="n">
        <x:f>(1+0*'01_Inputs'!$C$5)</x:f>
        <x:v>1</x:v>
      </x:c>
      <x:c r="G17" s="69" t="n">
        <x:f>(2*((('01_Inputs'!$C$5)*('01_Inputs'!$C$8)))*((('01_Inputs'!$B$52)*('01_Inputs'!$C$52)+('01_Inputs'!$C$52)*('01_Inputs'!$D$52)))+((('01_Inputs'!$C$5)*('01_Inputs'!$C$8)))*(('01_Inputs'!$C$37)*('01_Inputs'!$C$52)+('01_Inputs'!$C$38)*('01_Inputs'!$D$52)))</x:f>
        <x:v>8591245312</x:v>
      </x:c>
      <x:c r="H17" s="69" t="n">
        <x:f>(((((('01_Inputs'!$C$5)*('01_Inputs'!$C$8)))*('01_Inputs'!$B$52)*('01_Inputs'!$C$14)))+('01_Inputs'!$C$5)*((('01_Inputs'!$B$52)*('01_Inputs'!$C$52)+('01_Inputs'!$C$52)*('01_Inputs'!$D$52)))*('01_Inputs'!$C$35)*('01_Inputs'!$H$52))</x:f>
        <x:v>4295229440</x:v>
      </x:c>
      <x:c r="I17" s="69" t="n">
        <x:f>(0*'01_Inputs'!$C$5)</x:f>
        <x:v>0</x:v>
      </x:c>
      <x:c r="J17" s="69" t="n">
        <x:f>(((('01_Inputs'!$C$5)*('01_Inputs'!$C$8)))*('01_Inputs'!$D$52)*('01_Inputs'!$C$14))</x:f>
        <x:v>262144</x:v>
      </x:c>
      <x:c r="K17" s="69" t="n">
        <x:f>((1+0*'01_Inputs'!$C$5))*((((((('01_Inputs'!$C$5)*('01_Inputs'!$C$8)))*('01_Inputs'!$B$52)*('01_Inputs'!$C$14)))+('01_Inputs'!$C$5)*((('01_Inputs'!$B$52)*('01_Inputs'!$C$52)+('01_Inputs'!$C$52)*('01_Inputs'!$D$52)))*('01_Inputs'!$C$35)*('01_Inputs'!$H$52)))+0*('01_Inputs'!$C$5)</x:f>
        <x:v>4295229440</x:v>
      </x:c>
      <x:c r="L17" s="69" t="n">
        <x:f>((1+0*'01_Inputs'!$C$5))*(((0*'01_Inputs'!$C$5))+((((('01_Inputs'!$C$5)*('01_Inputs'!$C$8)))*('01_Inputs'!$D$52)*('01_Inputs'!$C$14))))+0*('01_Inputs'!$C$5)</x:f>
        <x:v>262144</x:v>
      </x:c>
      <x:c r="M17" s="69" t="n">
        <x:f>(('01_Inputs'!$C$5)*((('01_Inputs'!$B$52)*('01_Inputs'!$C$52)+('01_Inputs'!$C$52)*('01_Inputs'!$D$52)))*(('01_Inputs'!$C$35)+('01_Inputs'!$F$52)*('01_Inputs'!$C$36)))</x:f>
        <x:v>21474836480</x:v>
      </x:c>
      <x:c r="N17" s="66" t="n">
        <x:f>IF(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)=0,"",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)/(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))+0*('01_Inputs'!$C$5))</x:f>
        <x:v>2.000061027706579</x:v>
      </x:c>
      <x:c r="O17" s="66" t="n">
        <x:f>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/(('01_Inputs'!$C$31)*('02_HW'!$C$6))*('02_HW'!$C$10))</x:f>
        <x:v>0.00868265631771288</x:v>
      </x:c>
      <x:c r="P17" s="66" t="n">
        <x:f>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/(('01_Inputs'!$C$32)*('02_HW'!$C$7))*('02_HW'!$C$10))</x:f>
        <x:v>1.2822362937313432</x:v>
      </x:c>
      <x:c r="Q17" s="66" t="n">
        <x:f>(MAX(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/(('01_Inputs'!$C$31)*('02_HW'!$C$6))*('02_HW'!$C$10)),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/(('01_Inputs'!$C$32)*('02_HW'!$C$7))*('02_HW'!$C$10)))+((1+0*'01_Inputs'!$C$5))*('02_HW'!$C$9)*('02_HW'!$C$10))</x:f>
        <x:v>1.2822362937313432</x:v>
      </x:c>
      <x:c r="R17" s="21" t="str">
        <x:f>IF(O17&gt;P17,"compute",IF(P17&gt;O17,"memory","balanced"))&amp;IF('01_Inputs'!$C$5&gt;0,"","")</x:f>
        <x:v>memory</x:v>
      </x:c>
      <x:c r="S17" s="24" t="str">
        <x:v>Request-local mutable memory forward.</x:v>
      </x:c>
    </x:row>
    <x:row r="18">
      <x:c r="A18" s="21" t="n">
        <x:f>ROW()-11+0*('01_Inputs'!$C$5)</x:f>
        <x:v>7</x:v>
      </x:c>
      <x:c r="B18" s="21" t="str">
        <x:v>decode</x:v>
      </x:c>
      <x:c r="C18" s="21" t="str">
        <x:v>titans_update</x:v>
      </x:c>
      <x:c r="D18" s="21" t="str">
        <x:v>M_k_target_forward</x:v>
      </x:c>
      <x:c r="E18" s="24" t="str">
        <x:v>Ffwd(N)</x:v>
      </x:c>
      <x:c r="F18" s="66" t="n">
        <x:f>(1+0*'01_Inputs'!$C$5)</x:f>
        <x:v>1</x:v>
      </x:c>
      <x:c r="G18" s="69" t="n">
        <x:f>(2*((('01_Inputs'!$C$5)*('01_Inputs'!$C$8)))*((('01_Inputs'!$B$48)*('01_Inputs'!$C$48)+('01_Inputs'!$C$48)*('01_Inputs'!$D$48)))+((('01_Inputs'!$C$5)*('01_Inputs'!$C$8)))*(('01_Inputs'!$C$37)*('01_Inputs'!$C$48)+('01_Inputs'!$C$38)*('01_Inputs'!$D$48)))</x:f>
        <x:v>8591245312</x:v>
      </x:c>
      <x:c r="H18" s="69" t="n">
        <x:f>(((((('01_Inputs'!$C$5)*('01_Inputs'!$C$8)))*('01_Inputs'!$B$48)*('01_Inputs'!$C$14)))+('01_Inputs'!$C$5)*((('01_Inputs'!$B$48)*('01_Inputs'!$C$48)+('01_Inputs'!$C$48)*('01_Inputs'!$D$48)))*('01_Inputs'!$C$35)*('01_Inputs'!$H$48))</x:f>
        <x:v>4295229440</x:v>
      </x:c>
      <x:c r="I18" s="69" t="n">
        <x:f>(0*'01_Inputs'!$C$5)</x:f>
        <x:v>0</x:v>
      </x:c>
      <x:c r="J18" s="69" t="n">
        <x:f>(((('01_Inputs'!$C$5)*('01_Inputs'!$C$8)))*('01_Inputs'!$D$48)*('01_Inputs'!$C$14))</x:f>
        <x:v>262144</x:v>
      </x:c>
      <x:c r="K18" s="69" t="n">
        <x:f>((1+0*'01_Inputs'!$C$5))*((((((('01_Inputs'!$C$5)*('01_Inputs'!$C$8)))*('01_Inputs'!$B$48)*('01_Inputs'!$C$14)))+('01_Inputs'!$C$5)*((('01_Inputs'!$B$48)*('01_Inputs'!$C$48)+('01_Inputs'!$C$48)*('01_Inputs'!$D$48)))*('01_Inputs'!$C$35)*('01_Inputs'!$H$48)))+0*('01_Inputs'!$C$5)</x:f>
        <x:v>4295229440</x:v>
      </x:c>
      <x:c r="L18" s="69" t="n">
        <x:f>((1+0*'01_Inputs'!$C$5))*(((0*'01_Inputs'!$C$5))+((((('01_Inputs'!$C$5)*('01_Inputs'!$C$8)))*('01_Inputs'!$D$48)*('01_Inputs'!$C$14))))+0*('01_Inputs'!$C$5)</x:f>
        <x:v>262144</x:v>
      </x:c>
      <x:c r="M18" s="69" t="n">
        <x:f>(0*'01_Inputs'!$C$5)</x:f>
        <x:v>0</x:v>
      </x:c>
      <x:c r="N18" s="66" t="n">
        <x:f>IF(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)=0,"",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)/(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))+0*('01_Inputs'!$C$5))</x:f>
        <x:v>2.000061027706579</x:v>
      </x:c>
      <x:c r="O18" s="66" t="n">
        <x:f>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/(('01_Inputs'!$C$31)*('02_HW'!$C$6))*('02_HW'!$C$10))</x:f>
        <x:v>0.00868265631771288</x:v>
      </x:c>
      <x:c r="P18" s="66" t="n">
        <x:f>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/(('01_Inputs'!$C$32)*('02_HW'!$C$7))*('02_HW'!$C$10))</x:f>
        <x:v>1.2822362937313432</x:v>
      </x:c>
      <x:c r="Q18" s="66" t="n">
        <x:f>(MAX(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/(('01_Inputs'!$C$31)*('02_HW'!$C$6))*('02_HW'!$C$10)),(((1+0*'01_Inputs'!$C$5))*(((((((('01_Inputs'!$C$5)*('01_Inputs'!$C$8)))*('01_Inputs'!$B$48)*('01_Inputs'!$C$14)))+('01_Inputs'!$C$5)*((('01_Inputs'!$B$48)*('01_Inputs'!$C$48)+('01_Inputs'!$C$48)*('01_Inputs'!$D$48)))*('01_Inputs'!$C$35)*('01_Inputs'!$H$48)))+((0*'01_Inputs'!$C$5))+((((('01_Inputs'!$C$5)*('01_Inputs'!$C$8)))*('01_Inputs'!$D$48)*('01_Inputs'!$C$14))))/(('01_Inputs'!$C$32)*('02_HW'!$C$7))*('02_HW'!$C$10)))+((1+0*'01_Inputs'!$C$5))*('02_HW'!$C$9)*('02_HW'!$C$10))</x:f>
        <x:v>1.2822362937313432</x:v>
      </x:c>
      <x:c r="R18" s="21" t="str">
        <x:f>IF(O18&gt;P18,"compute",IF(P18&gt;O18,"memory","balanced"))&amp;IF('01_Inputs'!$C$5&gt;0,"","")</x:f>
        <x:v>memory</x:v>
      </x:c>
      <x:c r="S18" s="24" t="str">
        <x:v>Explicit self-target term.</x:v>
      </x:c>
    </x:row>
    <x:row r="19">
      <x:c r="A19" s="21" t="n">
        <x:f>ROW()-11+0*('01_Inputs'!$C$5)</x:f>
        <x:v>8</x:v>
      </x:c>
      <x:c r="B19" s="21" t="str">
        <x:v>decode</x:v>
      </x:c>
      <x:c r="C19" s="21" t="str">
        <x:v>titans_update</x:v>
      </x:c>
      <x:c r="D19" s="21" t="str">
        <x:v>M_k_prediction_forward</x:v>
      </x:c>
      <x:c r="E19" s="24" t="str">
        <x:v>Ffwd(N)</x:v>
      </x:c>
      <x:c r="F19" s="66" t="n">
        <x:f>(1+0*'01_Inputs'!$C$5)</x:f>
        <x:v>1</x:v>
      </x:c>
      <x:c r="G19" s="69" t="n">
        <x:f>(2*((('01_Inputs'!$C$5)*('01_Inputs'!$C$8)))*((('01_Inputs'!$B$48)*('01_Inputs'!$C$48)+('01_Inputs'!$C$48)*('01_Inputs'!$D$48)))+((('01_Inputs'!$C$5)*('01_Inputs'!$C$8)))*(('01_Inputs'!$C$37)*('01_Inputs'!$C$48)+('01_Inputs'!$C$38)*('01_Inputs'!$D$48)))</x:f>
        <x:v>8591245312</x:v>
      </x:c>
      <x:c r="H19" s="69" t="n">
        <x:f>(((('01_Inputs'!$C$5)*('01_Inputs'!$C$8)))*('01_Inputs'!$B$48)*('01_Inputs'!$C$14))</x:f>
        <x:v>262144</x:v>
      </x:c>
      <x:c r="I19" s="69" t="n">
        <x:f>(0*'01_Inputs'!$C$5)</x:f>
        <x:v>0</x:v>
      </x:c>
      <x:c r="J19" s="69" t="n">
        <x:f>(((('01_Inputs'!$C$5)*('01_Inputs'!$C$8)))*('01_Inputs'!$D$48)*('01_Inputs'!$C$14))</x:f>
        <x:v>262144</x:v>
      </x:c>
      <x:c r="K19" s="69" t="n">
        <x:f>((1+0*'01_Inputs'!$C$5))*((((('01_Inputs'!$C$5)*('01_Inputs'!$C$8)))*('01_Inputs'!$B$48)*('01_Inputs'!$C$14)))+0*('01_Inputs'!$C$5)</x:f>
        <x:v>262144</x:v>
      </x:c>
      <x:c r="L19" s="69" t="n">
        <x:f>((1+0*'01_Inputs'!$C$5))*(((0*'01_Inputs'!$C$5))+((((('01_Inputs'!$C$5)*('01_Inputs'!$C$8)))*('01_Inputs'!$D$48)*('01_Inputs'!$C$14))))+0*('01_Inputs'!$C$5)</x:f>
        <x:v>262144</x:v>
      </x:c>
      <x:c r="M19" s="69" t="n">
        <x:f>(0*'01_Inputs'!$C$5)</x:f>
        <x:v>0</x:v>
      </x:c>
      <x:c r="N19" s="66" t="n">
        <x:f>IF((((1+0*'01_Inputs'!$C$5))*(((((('01_Inputs'!$C$5)*('01_Inputs'!$C$8)))*('01_Inputs'!$B$48)*('01_Inputs'!$C$14)))+((0*'01_Inputs'!$C$5))+((((('01_Inputs'!$C$5)*('01_Inputs'!$C$8)))*('01_Inputs'!$D$48)*('01_Inputs'!$C$14)))))=0,"",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)/((((1+0*'01_Inputs'!$C$5))*(((((('01_Inputs'!$C$5)*('01_Inputs'!$C$8)))*('01_Inputs'!$B$48)*('01_Inputs'!$C$14)))+((0*'01_Inputs'!$C$5))+((((('01_Inputs'!$C$5)*('01_Inputs'!$C$8)))*('01_Inputs'!$D$48)*('01_Inputs'!$C$14))))))+0*('01_Inputs'!$C$5))</x:f>
        <x:v>16386.5</x:v>
      </x:c>
      <x:c r="O19" s="66" t="n">
        <x:f>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/(('01_Inputs'!$C$31)*('02_HW'!$C$6))*('02_HW'!$C$10))</x:f>
        <x:v>0.00868265631771288</x:v>
      </x:c>
      <x:c r="P19" s="66" t="n">
        <x:f>(((1+0*'01_Inputs'!$C$5))*(((((('01_Inputs'!$C$5)*('01_Inputs'!$C$8)))*('01_Inputs'!$B$48)*('01_Inputs'!$C$14)))+((0*'01_Inputs'!$C$5))+((((('01_Inputs'!$C$5)*('01_Inputs'!$C$8)))*('01_Inputs'!$D$48)*('01_Inputs'!$C$14))))/(('01_Inputs'!$C$32)*('02_HW'!$C$7))*('02_HW'!$C$10))</x:f>
        <x:v>0.0001565038805970149</x:v>
      </x:c>
      <x:c r="Q19" s="66" t="n">
        <x:f>(MAX((((1+0*'01_Inputs'!$C$5))*((2*((('01_Inputs'!$C$5)*('01_Inputs'!$C$8)))*((('01_Inputs'!$B$48)*('01_Inputs'!$C$48)+('01_Inputs'!$C$48)*('01_Inputs'!$D$48)))+((('01_Inputs'!$C$5)*('01_Inputs'!$C$8)))*(('01_Inputs'!$C$37)*('01_Inputs'!$C$48)+('01_Inputs'!$C$38)*('01_Inputs'!$D$48))))/(('01_Inputs'!$C$31)*('02_HW'!$C$6))*('02_HW'!$C$10)),(((1+0*'01_Inputs'!$C$5))*(((((('01_Inputs'!$C$5)*('01_Inputs'!$C$8)))*('01_Inputs'!$B$48)*('01_Inputs'!$C$14)))+((0*'01_Inputs'!$C$5))+((((('01_Inputs'!$C$5)*('01_Inputs'!$C$8)))*('01_Inputs'!$D$48)*('01_Inputs'!$C$14))))/(('01_Inputs'!$C$32)*('02_HW'!$C$7))*('02_HW'!$C$10)))+((1+0*'01_Inputs'!$C$5))*('02_HW'!$C$9)*('02_HW'!$C$10))</x:f>
        <x:v>0.00868265631771288</x:v>
      </x:c>
      <x:c r="R19" s="21" t="str">
        <x:f>IF(O19&gt;P19,"compute",IF(P19&gt;O19,"memory","balanced"))&amp;IF('01_Inputs'!$C$5&gt;0,"","")</x:f>
        <x:v>compute</x:v>
      </x:c>
      <x:c r="S19" s="24" t="str">
        <x:v>Explicit prediction term.</x:v>
      </x:c>
    </x:row>
    <x:row r="20">
      <x:c r="A20" s="21" t="n">
        <x:f>ROW()-11+0*('01_Inputs'!$C$5)</x:f>
        <x:v>9</x:v>
      </x:c>
      <x:c r="B20" s="21" t="str">
        <x:v>decode</x:v>
      </x:c>
      <x:c r="C20" s="21" t="str">
        <x:v>titans_update</x:v>
      </x:c>
      <x:c r="D20" s="21" t="str">
        <x:v>M_k_weight_backward</x:v>
      </x:c>
      <x:c r="E20" s="24" t="str">
        <x:v>2NIH + 4NHO</x:v>
      </x:c>
      <x:c r="F20" s="66" t="n">
        <x:f>(1+0*'01_Inputs'!$C$5)</x:f>
        <x:v>1</x:v>
      </x:c>
      <x:c r="G20" s="69" t="n">
        <x:f>(2*((('01_Inputs'!$C$5)*('01_Inputs'!$C$8)))*('01_Inputs'!$B$48)*('01_Inputs'!$C$48)+4*((('01_Inputs'!$C$5)*('01_Inputs'!$C$8)))*('01_Inputs'!$C$48)*('01_Inputs'!$D$48))</x:f>
        <x:v>12884901888</x:v>
      </x:c>
      <x:c r="H20" s="69" t="n">
        <x:f>(((('01_Inputs'!$C$5)*('01_Inputs'!$C$8)))*(('01_Inputs'!$B$48)+('01_Inputs'!$C$48)+('01_Inputs'!$D$48))*('01_Inputs'!$C$14))</x:f>
        <x:v>786432</x:v>
      </x:c>
      <x:c r="I20" s="69" t="n">
        <x:f>(0*'01_Inputs'!$C$5)</x:f>
        <x:v>0</x:v>
      </x:c>
      <x:c r="J20" s="69" t="n">
        <x:f>(('01_Inputs'!$C$5)*((('01_Inputs'!$B$48)*('01_Inputs'!$C$48)+('01_Inputs'!$C$48)*('01_Inputs'!$D$48)))*('01_Inputs'!$C$36))</x:f>
        <x:v>17179869184</x:v>
      </x:c>
      <x:c r="K20" s="69" t="n">
        <x:f>((1+0*'01_Inputs'!$C$5))*((((('01_Inputs'!$C$5)*('01_Inputs'!$C$8)))*(('01_Inputs'!$B$48)+('01_Inputs'!$C$48)+('01_Inputs'!$D$48))*('01_Inputs'!$C$14)))+0*('01_Inputs'!$C$5)</x:f>
        <x:v>786432</x:v>
      </x:c>
      <x:c r="L20" s="69" t="n">
        <x:f>((1+0*'01_Inputs'!$C$5))*(((0*'01_Inputs'!$C$5))+((('01_Inputs'!$C$5)*((('01_Inputs'!$B$48)*('01_Inputs'!$C$48)+('01_Inputs'!$C$48)*('01_Inputs'!$D$48)))*('01_Inputs'!$C$36))))+0*('01_Inputs'!$C$5)</x:f>
        <x:v>17179869184</x:v>
      </x:c>
      <x:c r="M20" s="69" t="n">
        <x:f>(0*'01_Inputs'!$C$5)</x:f>
        <x:v>0</x:v>
      </x:c>
      <x:c r="N20" s="66" t="n">
        <x:f>IF((((1+0*'01_Inputs'!$C$5))*(((((('01_Inputs'!$C$5)*('01_Inputs'!$C$8)))*(('01_Inputs'!$B$48)+('01_Inputs'!$C$48)+('01_Inputs'!$D$48))*('01_Inputs'!$C$14)))+((0*'01_Inputs'!$C$5))+((('01_Inputs'!$C$5)*((('01_Inputs'!$B$48)*('01_Inputs'!$C$48)+('01_Inputs'!$C$48)*('01_Inputs'!$D$48)))*('01_Inputs'!$C$36)))))=0,"",(((1+0*'01_Inputs'!$C$5))*((2*((('01_Inputs'!$C$5)*('01_Inputs'!$C$8)))*('01_Inputs'!$B$48)*('01_Inputs'!$C$48)+4*((('01_Inputs'!$C$5)*('01_Inputs'!$C$8)))*('01_Inputs'!$C$48)*('01_Inputs'!$D$48))))/((((1+0*'01_Inputs'!$C$5))*(((((('01_Inputs'!$C$5)*('01_Inputs'!$C$8)))*(('01_Inputs'!$B$48)+('01_Inputs'!$C$48)+('01_Inputs'!$D$48))*('01_Inputs'!$C$14)))+((0*'01_Inputs'!$C$5))+((('01_Inputs'!$C$5)*((('01_Inputs'!$B$48)*('01_Inputs'!$C$48)+('01_Inputs'!$C$48)*('01_Inputs'!$D$48)))*('01_Inputs'!$C$36))))))+0*('01_Inputs'!$C$5))</x:f>
        <x:v>0.7499656692961443</x:v>
      </x:c>
      <x:c r="O20" s="66" t="n">
        <x:f>(((1+0*'01_Inputs'!$C$5))*((2*((('01_Inputs'!$C$5)*('01_Inputs'!$C$8)))*('01_Inputs'!$B$48)*('01_Inputs'!$C$48)+4*((('01_Inputs'!$C$5)*('01_Inputs'!$C$8)))*('01_Inputs'!$C$48)*('01_Inputs'!$D$48)))/(('01_Inputs'!$C$31)*('02_HW'!$C$6))*('02_HW'!$C$10))</x:f>
        <x:v>0.013021997477442515</x:v>
      </x:c>
      <x:c r="P20" s="66" t="n">
        <x:f>(((1+0*'01_Inputs'!$C$5))*(((((('01_Inputs'!$C$5)*('01_Inputs'!$C$8)))*(('01_Inputs'!$B$48)+('01_Inputs'!$C$48)+('01_Inputs'!$D$48))*('01_Inputs'!$C$14)))+((0*'01_Inputs'!$C$5))+((('01_Inputs'!$C$5)*((('01_Inputs'!$B$48)*('01_Inputs'!$C$48)+('01_Inputs'!$C$48)*('01_Inputs'!$D$48)))*('01_Inputs'!$C$36))))/(('01_Inputs'!$C$32)*('02_HW'!$C$7))*('02_HW'!$C$10))</x:f>
        <x:v>5.12855391522388</x:v>
      </x:c>
      <x:c r="Q20" s="66" t="n">
        <x:f>(MAX((((1+0*'01_Inputs'!$C$5))*((2*((('01_Inputs'!$C$5)*('01_Inputs'!$C$8)))*('01_Inputs'!$B$48)*('01_Inputs'!$C$48)+4*((('01_Inputs'!$C$5)*('01_Inputs'!$C$8)))*('01_Inputs'!$C$48)*('01_Inputs'!$D$48)))/(('01_Inputs'!$C$31)*('02_HW'!$C$6))*('02_HW'!$C$10)),(((1+0*'01_Inputs'!$C$5))*(((((('01_Inputs'!$C$5)*('01_Inputs'!$C$8)))*(('01_Inputs'!$B$48)+('01_Inputs'!$C$48)+('01_Inputs'!$D$48))*('01_Inputs'!$C$14)))+((0*'01_Inputs'!$C$5))+((('01_Inputs'!$C$5)*((('01_Inputs'!$B$48)*('01_Inputs'!$C$48)+('01_Inputs'!$C$48)*('01_Inputs'!$D$48)))*('01_Inputs'!$C$36))))/(('01_Inputs'!$C$32)*('02_HW'!$C$7))*('02_HW'!$C$10)))+((1+0*'01_Inputs'!$C$5))*('02_HW'!$C$9)*('02_HW'!$C$10))</x:f>
        <x:v>5.12855391522388</x:v>
      </x:c>
      <x:c r="R20" s="21" t="str">
        <x:f>IF(O20&gt;P20,"compute",IF(P20&gt;O20,"memory","balanced"))&amp;IF('01_Inputs'!$C$5&gt;0,"","")</x:f>
        <x:v>memory</x:v>
      </x:c>
      <x:c r="S20" s="24" t="str">
        <x:v>Weight-gradient backward; no input gradient.</x:v>
      </x:c>
    </x:row>
    <x:row r="21">
      <x:c r="A21" s="21" t="n">
        <x:f>ROW()-11+0*('01_Inputs'!$C$5)</x:f>
        <x:v>10</x:v>
      </x:c>
      <x:c r="B21" s="21" t="str">
        <x:v>decode</x:v>
      </x:c>
      <x:c r="C21" s="21" t="str">
        <x:v>titans_update</x:v>
      </x:c>
      <x:c r="D21" s="21" t="str">
        <x:v>M_k_dgd_extra</x:v>
      </x:c>
      <x:c r="E21" s="24" t="str">
        <x:v>μFfwd − (2Ffwd+Fbwd)</x:v>
      </x:c>
      <x:c r="F21" s="66" t="n">
        <x:f>(1+0*'01_Inputs'!$C$5)</x:f>
        <x:v>1</x:v>
      </x:c>
      <x:c r="G21" s="69" t="n">
        <x:f>(('01_Inputs'!$G$48)*((2*((('01_Inputs'!$C$5)*('01_Inputs'!$C$8)))*((('01_Inputs'!$B$48)*('01_Inputs'!$C$48)+('01_Inputs'!$C$48)*('01_Inputs'!$D$48)))+((('01_Inputs'!$C$5)*('01_Inputs'!$C$8)))*(('01_Inputs'!$C$37)*('01_Inputs'!$C$48)+('01_Inputs'!$C$38)*('01_Inputs'!$D$48))))-(2*((2*((('01_Inputs'!$C$5)*('01_Inputs'!$C$8)))*((('01_Inputs'!$B$48)*('01_Inputs'!$C$48)+('01_Inputs'!$C$48)*('01_Inputs'!$D$48)))+((('01_Inputs'!$C$5)*('01_Inputs'!$C$8)))*(('01_Inputs'!$C$37)*('01_Inputs'!$C$48)+('01_Inputs'!$C$38)*('01_Inputs'!$D$48))))+((2*((('01_Inputs'!$C$5)*('01_Inputs'!$C$8)))*('01_Inputs'!$B$48)*('01_Inputs'!$C$48)+4*((('01_Inputs'!$C$5)*('01_Inputs'!$C$8)))*('01_Inputs'!$C$48)*('01_Inputs'!$D$48)))))</x:f>
        <x:v>4297588736</x:v>
      </x:c>
      <x:c r="H21" s="69" t="n">
        <x:f>(('01_Inputs'!$C$5)*((('01_Inputs'!$B$48)*('01_Inputs'!$C$48)+('01_Inputs'!$C$48)*('01_Inputs'!$D$48)))*('01_Inputs'!$C$36))</x:f>
        <x:v>17179869184</x:v>
      </x:c>
      <x:c r="I21" s="69" t="n">
        <x:f>(0*'01_Inputs'!$C$5)</x:f>
        <x:v>0</x:v>
      </x:c>
      <x:c r="J21" s="69" t="n">
        <x:f>(('01_Inputs'!$C$5)*((('01_Inputs'!$B$48)*('01_Inputs'!$C$48)+('01_Inputs'!$C$48)*('01_Inputs'!$D$48)))*('01_Inputs'!$C$36))</x:f>
        <x:v>17179869184</x:v>
      </x:c>
      <x:c r="K21" s="69" t="n">
        <x:f>((1+0*'01_Inputs'!$C$5))*((('01_Inputs'!$C$5)*((('01_Inputs'!$B$48)*('01_Inputs'!$C$48)+('01_Inputs'!$C$48)*('01_Inputs'!$D$48)))*('01_Inputs'!$C$36)))+0*('01_Inputs'!$C$5)</x:f>
        <x:v>17179869184</x:v>
      </x:c>
      <x:c r="L21" s="69" t="n">
        <x:f>((1+0*'01_Inputs'!$C$5))*(((0*'01_Inputs'!$C$5))+((('01_Inputs'!$C$5)*((('01_Inputs'!$B$48)*('01_Inputs'!$C$48)+('01_Inputs'!$C$48)*('01_Inputs'!$D$48)))*('01_Inputs'!$C$36))))+0*('01_Inputs'!$C$5)</x:f>
        <x:v>17179869184</x:v>
      </x:c>
      <x:c r="M21" s="69" t="n">
        <x:f>(0*'01_Inputs'!$C$5)</x:f>
        <x:v>0</x:v>
      </x:c>
      <x:c r="N21" s="66" t="n">
        <x:f>IF(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)=0,"",(((1+0*'01_Inputs'!$C$5))*((('01_Inputs'!$G$48)*((2*((('01_Inputs'!$C$5)*('01_Inputs'!$C$8)))*((('01_Inputs'!$B$48)*('01_Inputs'!$C$48)+('01_Inputs'!$C$48)*('01_Inputs'!$D$48)))+((('01_Inputs'!$C$5)*('01_Inputs'!$C$8)))*(('01_Inputs'!$C$37)*('01_Inputs'!$C$48)+('01_Inputs'!$C$38)*('01_Inputs'!$D$48))))-(2*((2*((('01_Inputs'!$C$5)*('01_Inputs'!$C$8)))*((('01_Inputs'!$B$48)*('01_Inputs'!$C$48)+('01_Inputs'!$C$48)*('01_Inputs'!$D$48)))+((('01_Inputs'!$C$5)*('01_Inputs'!$C$8)))*(('01_Inputs'!$C$37)*('01_Inputs'!$C$48)+('01_Inputs'!$C$38)*('01_Inputs'!$D$48))))+((2*((('01_Inputs'!$C$5)*('01_Inputs'!$C$8)))*('01_Inputs'!$B$48)*('01_Inputs'!$C$48)+4*((('01_Inputs'!$C$5)*('01_Inputs'!$C$8)))*('01_Inputs'!$C$48)*('01_Inputs'!$D$48)))))))/(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))+0*('01_Inputs'!$C$5))</x:f>
        <x:v>0.1250762939453125</x:v>
      </x:c>
      <x:c r="O21" s="66" t="n">
        <x:f>(((1+0*'01_Inputs'!$C$5))*((('01_Inputs'!$G$48)*((2*((('01_Inputs'!$C$5)*('01_Inputs'!$C$8)))*((('01_Inputs'!$B$48)*('01_Inputs'!$C$48)+('01_Inputs'!$C$48)*('01_Inputs'!$D$48)))+((('01_Inputs'!$C$5)*('01_Inputs'!$C$8)))*(('01_Inputs'!$C$37)*('01_Inputs'!$C$48)+('01_Inputs'!$C$38)*('01_Inputs'!$D$48))))-(2*((2*((('01_Inputs'!$C$5)*('01_Inputs'!$C$8)))*((('01_Inputs'!$B$48)*('01_Inputs'!$C$48)+('01_Inputs'!$C$48)*('01_Inputs'!$D$48)))+((('01_Inputs'!$C$5)*('01_Inputs'!$C$8)))*(('01_Inputs'!$C$37)*('01_Inputs'!$C$48)+('01_Inputs'!$C$38)*('01_Inputs'!$D$48))))+((2*((('01_Inputs'!$C$5)*('01_Inputs'!$C$8)))*('01_Inputs'!$B$48)*('01_Inputs'!$C$48)+4*((('01_Inputs'!$C$5)*('01_Inputs'!$C$8)))*('01_Inputs'!$C$48)*('01_Inputs'!$D$48))))))/(('01_Inputs'!$C$31)*('02_HW'!$C$6))*('02_HW'!$C$10))</x:f>
        <x:v>0.0043433151579832475</x:v>
      </x:c>
      <x:c r="P21" s="66" t="n">
        <x:f>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/(('01_Inputs'!$C$32)*('02_HW'!$C$7))*('02_HW'!$C$10))</x:f>
        <x:v>10.256638318805969</x:v>
      </x:c>
      <x:c r="Q21" s="66" t="n">
        <x:f>(MAX((((1+0*'01_Inputs'!$C$5))*((('01_Inputs'!$G$48)*((2*((('01_Inputs'!$C$5)*('01_Inputs'!$C$8)))*((('01_Inputs'!$B$48)*('01_Inputs'!$C$48)+('01_Inputs'!$C$48)*('01_Inputs'!$D$48)))+((('01_Inputs'!$C$5)*('01_Inputs'!$C$8)))*(('01_Inputs'!$C$37)*('01_Inputs'!$C$48)+('01_Inputs'!$C$38)*('01_Inputs'!$D$48))))-(2*((2*((('01_Inputs'!$C$5)*('01_Inputs'!$C$8)))*((('01_Inputs'!$B$48)*('01_Inputs'!$C$48)+('01_Inputs'!$C$48)*('01_Inputs'!$D$48)))+((('01_Inputs'!$C$5)*('01_Inputs'!$C$8)))*(('01_Inputs'!$C$37)*('01_Inputs'!$C$48)+('01_Inputs'!$C$38)*('01_Inputs'!$D$48))))+((2*((('01_Inputs'!$C$5)*('01_Inputs'!$C$8)))*('01_Inputs'!$B$48)*('01_Inputs'!$C$48)+4*((('01_Inputs'!$C$5)*('01_Inputs'!$C$8)))*('01_Inputs'!$C$48)*('01_Inputs'!$D$48))))))/(('01_Inputs'!$C$31)*('02_HW'!$C$6))*('02_HW'!$C$10)),(((1+0*'01_Inputs'!$C$5))*(((('01_Inputs'!$C$5)*((('01_Inputs'!$B$48)*('01_Inputs'!$C$48)+('01_Inputs'!$C$48)*('01_Inputs'!$D$48)))*('01_Inputs'!$C$36)))+((0*'01_Inputs'!$C$5))+((('01_Inputs'!$C$5)*((('01_Inputs'!$B$48)*('01_Inputs'!$C$48)+('01_Inputs'!$C$48)*('01_Inputs'!$D$48)))*('01_Inputs'!$C$36))))/(('01_Inputs'!$C$32)*('02_HW'!$C$7))*('02_HW'!$C$10)))+((1+0*'01_Inputs'!$C$5))*('02_HW'!$C$9)*('02_HW'!$C$10))</x:f>
        <x:v>10.256638318805969</x:v>
      </x:c>
      <x:c r="R21" s="21" t="str">
        <x:f>IF(O21&gt;P21,"compute",IF(P21&gt;O21,"memory","balanced"))&amp;IF('01_Inputs'!$C$5&gt;0,"","")</x:f>
        <x:v>memory</x:v>
      </x:c>
      <x:c r="S21" s="24" t="str">
        <x:v>Residual DGD calibration.</x:v>
      </x:c>
    </x:row>
    <x:row r="22">
      <x:c r="A22" s="21" t="n">
        <x:f>ROW()-11+0*('01_Inputs'!$C$5)</x:f>
        <x:v>11</x:v>
      </x:c>
      <x:c r="B22" s="21" t="str">
        <x:v>decode</x:v>
      </x:c>
      <x:c r="C22" s="21" t="str">
        <x:v>titans_update</x:v>
      </x:c>
      <x:c r="D22" s="21" t="str">
        <x:v>M_k_state_apply</x:v>
      </x:c>
      <x:c r="E22" s="24" t="str">
        <x:v>B(1+m)Pbs read + write</x:v>
      </x:c>
      <x:c r="F22" s="66" t="n">
        <x:f>(1/('01_Inputs'!$E$48)+0*'01_Inputs'!$C$5)</x:f>
        <x:v>0.00048828125</x:v>
      </x:c>
      <x:c r="G22" s="69" t="n">
        <x:f>(0*'01_Inputs'!$C$5)</x:f>
        <x:v>0</x:v>
      </x:c>
      <x:c r="H22" s="69" t="n">
        <x:f>(('01_Inputs'!$C$5)*(1+('01_Inputs'!$F$48))*((('01_Inputs'!$B$48)*('01_Inputs'!$C$48)+('01_Inputs'!$C$48)*('01_Inputs'!$D$48)))*('01_Inputs'!$C$35))</x:f>
        <x:v>8589934592</x:v>
      </x:c>
      <x:c r="I22" s="69" t="n">
        <x:f>(('01_Inputs'!$C$5)*(1+('01_Inputs'!$F$48))*((('01_Inputs'!$B$48)*('01_Inputs'!$C$48)+('01_Inputs'!$C$48)*('01_Inputs'!$D$48)))*('01_Inputs'!$C$35))</x:f>
        <x:v>8589934592</x:v>
      </x:c>
      <x:c r="J22" s="69" t="n">
        <x:f>(0*'01_Inputs'!$C$5)</x:f>
        <x:v>0</x:v>
      </x:c>
      <x:c r="K22" s="69" t="n">
        <x:f>((1/('01_Inputs'!$E$48)+0*'01_Inputs'!$C$5))*((('01_Inputs'!$C$5)*(1+('01_Inputs'!$F$48))*((('01_Inputs'!$B$48)*('01_Inputs'!$C$48)+('01_Inputs'!$C$48)*('01_Inputs'!$D$48)))*('01_Inputs'!$C$35)))+0*('01_Inputs'!$C$5)</x:f>
        <x:v>4194304</x:v>
      </x:c>
      <x:c r="L22" s="69" t="n">
        <x:f>((1/('01_Inputs'!$E$48)+0*'01_Inputs'!$C$5))*(((('01_Inputs'!$C$5)*(1+('01_Inputs'!$F$48))*((('01_Inputs'!$B$48)*('01_Inputs'!$C$48)+('01_Inputs'!$C$48)*('01_Inputs'!$D$48)))*('01_Inputs'!$C$35)))+((0*'01_Inputs'!$C$5)))+0*('01_Inputs'!$C$5)</x:f>
        <x:v>4194304</x:v>
      </x:c>
      <x:c r="M22" s="69" t="n">
        <x:f>(0*'01_Inputs'!$C$5)</x:f>
        <x:v>0</x:v>
      </x:c>
      <x:c r="N22" s="66" t="n">
        <x:f>IF((((1/('01_Inputs'!$E$48)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)=0,"",(((1/('01_Inputs'!$E$48)+0*'01_Inputs'!$C$5))*((0*'01_Inputs'!$C$5)))/((((1/('01_Inputs'!$E$48)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))+0*('01_Inputs'!$C$5))</x:f>
        <x:v>0</x:v>
      </x:c>
      <x:c r="O22" s="66" t="n">
        <x:f>(((1/('01_Inputs'!$E$48)+0*'01_Inputs'!$C$5))*((0*'01_Inputs'!$C$5))/(('01_Inputs'!$C$31)*('02_HW'!$C$6))*('02_HW'!$C$10))</x:f>
        <x:v>0</x:v>
      </x:c>
      <x:c r="P22" s="66" t="n">
        <x:f>(((1/('01_Inputs'!$E$48)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/(('01_Inputs'!$C$32)*('02_HW'!$C$7))*('02_HW'!$C$10))</x:f>
        <x:v>0.0025040620895522385</x:v>
      </x:c>
      <x:c r="Q22" s="66" t="n">
        <x:f>(MAX((((1/('01_Inputs'!$E$48)+0*'01_Inputs'!$C$5))*((0*'01_Inputs'!$C$5))/(('01_Inputs'!$C$31)*('02_HW'!$C$6))*('02_HW'!$C$10)),(((1/('01_Inputs'!$E$48)+0*'01_Inputs'!$C$5))*(((('01_Inputs'!$C$5)*(1+('01_Inputs'!$F$48))*((('01_Inputs'!$B$48)*('01_Inputs'!$C$48)+('01_Inputs'!$C$48)*('01_Inputs'!$D$48)))*('01_Inputs'!$C$35)))+((('01_Inputs'!$C$5)*(1+('01_Inputs'!$F$48))*((('01_Inputs'!$B$48)*('01_Inputs'!$C$48)+('01_Inputs'!$C$48)*('01_Inputs'!$D$48)))*('01_Inputs'!$C$35)))+((0*'01_Inputs'!$C$5)))/(('01_Inputs'!$C$32)*('02_HW'!$C$7))*('02_HW'!$C$10)))+((1/('01_Inputs'!$E$48)+0*'01_Inputs'!$C$5))*('02_HW'!$C$9)*('02_HW'!$C$10))</x:f>
        <x:v>0.0025040620895522385</x:v>
      </x:c>
      <x:c r="R22" s="21" t="str">
        <x:f>IF(O22&gt;P22,"compute",IF(P22&gt;O22,"memory","balanced"))&amp;IF('01_Inputs'!$C$5&gt;0,"","")</x:f>
        <x:v>memory</x:v>
      </x:c>
      <x:c r="S22" s="24" t="str">
        <x:v>amortized decode state RMW.</x:v>
      </x:c>
    </x:row>
    <x:row r="23">
      <x:c r="A23" s="21" t="n">
        <x:f>ROW()-11+0*('01_Inputs'!$C$5)</x:f>
        <x:v>12</x:v>
      </x:c>
      <x:c r="B23" s="21" t="str">
        <x:v>decode</x:v>
      </x:c>
      <x:c r="C23" s="21" t="str">
        <x:v>titans_update</x:v>
      </x:c>
      <x:c r="D23" s="21" t="str">
        <x:v>M_v_target_forward</x:v>
      </x:c>
      <x:c r="E23" s="24" t="str">
        <x:v>Ffwd(N)</x:v>
      </x:c>
      <x:c r="F23" s="66" t="n">
        <x:f>(1+0*'01_Inputs'!$C$5)</x:f>
        <x:v>1</x:v>
      </x:c>
      <x:c r="G23" s="69" t="n">
        <x:f>(2*((('01_Inputs'!$C$5)*('01_Inputs'!$C$8)))*((('01_Inputs'!$B$49)*('01_Inputs'!$C$49)+('01_Inputs'!$C$49)*('01_Inputs'!$D$49)))+((('01_Inputs'!$C$5)*('01_Inputs'!$C$8)))*(('01_Inputs'!$C$37)*('01_Inputs'!$C$49)+('01_Inputs'!$C$38)*('01_Inputs'!$D$49)))</x:f>
        <x:v>8591245312</x:v>
      </x:c>
      <x:c r="H23" s="69" t="n">
        <x:f>(((((('01_Inputs'!$C$5)*('01_Inputs'!$C$8)))*('01_Inputs'!$B$49)*('01_Inputs'!$C$14)))+('01_Inputs'!$C$5)*((('01_Inputs'!$B$49)*('01_Inputs'!$C$49)+('01_Inputs'!$C$49)*('01_Inputs'!$D$49)))*('01_Inputs'!$C$35)*('01_Inputs'!$H$49))</x:f>
        <x:v>4295229440</x:v>
      </x:c>
      <x:c r="I23" s="69" t="n">
        <x:f>(0*'01_Inputs'!$C$5)</x:f>
        <x:v>0</x:v>
      </x:c>
      <x:c r="J23" s="69" t="n">
        <x:f>(((('01_Inputs'!$C$5)*('01_Inputs'!$C$8)))*('01_Inputs'!$D$49)*('01_Inputs'!$C$14))</x:f>
        <x:v>262144</x:v>
      </x:c>
      <x:c r="K23" s="69" t="n">
        <x:f>((1+0*'01_Inputs'!$C$5))*((((((('01_Inputs'!$C$5)*('01_Inputs'!$C$8)))*('01_Inputs'!$B$49)*('01_Inputs'!$C$14)))+('01_Inputs'!$C$5)*((('01_Inputs'!$B$49)*('01_Inputs'!$C$49)+('01_Inputs'!$C$49)*('01_Inputs'!$D$49)))*('01_Inputs'!$C$35)*('01_Inputs'!$H$49)))+0*('01_Inputs'!$C$5)</x:f>
        <x:v>4295229440</x:v>
      </x:c>
      <x:c r="L23" s="69" t="n">
        <x:f>((1+0*'01_Inputs'!$C$5))*(((0*'01_Inputs'!$C$5))+((((('01_Inputs'!$C$5)*('01_Inputs'!$C$8)))*('01_Inputs'!$D$49)*('01_Inputs'!$C$14))))+0*('01_Inputs'!$C$5)</x:f>
        <x:v>262144</x:v>
      </x:c>
      <x:c r="M23" s="69" t="n">
        <x:f>(0*'01_Inputs'!$C$5)</x:f>
        <x:v>0</x:v>
      </x:c>
      <x:c r="N23" s="66" t="n">
        <x:f>IF(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)=0,"",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)/(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))+0*('01_Inputs'!$C$5))</x:f>
        <x:v>2.000061027706579</x:v>
      </x:c>
      <x:c r="O23" s="66" t="n">
        <x:f>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/(('01_Inputs'!$C$31)*('02_HW'!$C$6))*('02_HW'!$C$10))</x:f>
        <x:v>0.00868265631771288</x:v>
      </x:c>
      <x:c r="P23" s="66" t="n">
        <x:f>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/(('01_Inputs'!$C$32)*('02_HW'!$C$7))*('02_HW'!$C$10))</x:f>
        <x:v>1.2822362937313432</x:v>
      </x:c>
      <x:c r="Q23" s="66" t="n">
        <x:f>(MAX(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/(('01_Inputs'!$C$31)*('02_HW'!$C$6))*('02_HW'!$C$10)),(((1+0*'01_Inputs'!$C$5))*(((((((('01_Inputs'!$C$5)*('01_Inputs'!$C$8)))*('01_Inputs'!$B$49)*('01_Inputs'!$C$14)))+('01_Inputs'!$C$5)*((('01_Inputs'!$B$49)*('01_Inputs'!$C$49)+('01_Inputs'!$C$49)*('01_Inputs'!$D$49)))*('01_Inputs'!$C$35)*('01_Inputs'!$H$49)))+((0*'01_Inputs'!$C$5))+((((('01_Inputs'!$C$5)*('01_Inputs'!$C$8)))*('01_Inputs'!$D$49)*('01_Inputs'!$C$14))))/(('01_Inputs'!$C$32)*('02_HW'!$C$7))*('02_HW'!$C$10)))+((1+0*'01_Inputs'!$C$5))*('02_HW'!$C$9)*('02_HW'!$C$10))</x:f>
        <x:v>1.2822362937313432</x:v>
      </x:c>
      <x:c r="R23" s="21" t="str">
        <x:f>IF(O23&gt;P23,"compute",IF(P23&gt;O23,"memory","balanced"))&amp;IF('01_Inputs'!$C$5&gt;0,"","")</x:f>
        <x:v>memory</x:v>
      </x:c>
      <x:c r="S23" s="24" t="str">
        <x:v>Explicit self-target term.</x:v>
      </x:c>
    </x:row>
    <x:row r="24">
      <x:c r="A24" s="21" t="n">
        <x:f>ROW()-11+0*('01_Inputs'!$C$5)</x:f>
        <x:v>13</x:v>
      </x:c>
      <x:c r="B24" s="21" t="str">
        <x:v>decode</x:v>
      </x:c>
      <x:c r="C24" s="21" t="str">
        <x:v>titans_update</x:v>
      </x:c>
      <x:c r="D24" s="21" t="str">
        <x:v>M_v_prediction_forward</x:v>
      </x:c>
      <x:c r="E24" s="24" t="str">
        <x:v>Ffwd(N)</x:v>
      </x:c>
      <x:c r="F24" s="66" t="n">
        <x:f>(1+0*'01_Inputs'!$C$5)</x:f>
        <x:v>1</x:v>
      </x:c>
      <x:c r="G24" s="69" t="n">
        <x:f>(2*((('01_Inputs'!$C$5)*('01_Inputs'!$C$8)))*((('01_Inputs'!$B$49)*('01_Inputs'!$C$49)+('01_Inputs'!$C$49)*('01_Inputs'!$D$49)))+((('01_Inputs'!$C$5)*('01_Inputs'!$C$8)))*(('01_Inputs'!$C$37)*('01_Inputs'!$C$49)+('01_Inputs'!$C$38)*('01_Inputs'!$D$49)))</x:f>
        <x:v>8591245312</x:v>
      </x:c>
      <x:c r="H24" s="69" t="n">
        <x:f>(((('01_Inputs'!$C$5)*('01_Inputs'!$C$8)))*('01_Inputs'!$B$49)*('01_Inputs'!$C$14))</x:f>
        <x:v>262144</x:v>
      </x:c>
      <x:c r="I24" s="69" t="n">
        <x:f>(0*'01_Inputs'!$C$5)</x:f>
        <x:v>0</x:v>
      </x:c>
      <x:c r="J24" s="69" t="n">
        <x:f>(((('01_Inputs'!$C$5)*('01_Inputs'!$C$8)))*('01_Inputs'!$D$49)*('01_Inputs'!$C$14))</x:f>
        <x:v>262144</x:v>
      </x:c>
      <x:c r="K24" s="69" t="n">
        <x:f>((1+0*'01_Inputs'!$C$5))*((((('01_Inputs'!$C$5)*('01_Inputs'!$C$8)))*('01_Inputs'!$B$49)*('01_Inputs'!$C$14)))+0*('01_Inputs'!$C$5)</x:f>
        <x:v>262144</x:v>
      </x:c>
      <x:c r="L24" s="69" t="n">
        <x:f>((1+0*'01_Inputs'!$C$5))*(((0*'01_Inputs'!$C$5))+((((('01_Inputs'!$C$5)*('01_Inputs'!$C$8)))*('01_Inputs'!$D$49)*('01_Inputs'!$C$14))))+0*('01_Inputs'!$C$5)</x:f>
        <x:v>262144</x:v>
      </x:c>
      <x:c r="M24" s="69" t="n">
        <x:f>(0*'01_Inputs'!$C$5)</x:f>
        <x:v>0</x:v>
      </x:c>
      <x:c r="N24" s="66" t="n">
        <x:f>IF((((1+0*'01_Inputs'!$C$5))*(((((('01_Inputs'!$C$5)*('01_Inputs'!$C$8)))*('01_Inputs'!$B$49)*('01_Inputs'!$C$14)))+((0*'01_Inputs'!$C$5))+((((('01_Inputs'!$C$5)*('01_Inputs'!$C$8)))*('01_Inputs'!$D$49)*('01_Inputs'!$C$14)))))=0,"",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)/((((1+0*'01_Inputs'!$C$5))*(((((('01_Inputs'!$C$5)*('01_Inputs'!$C$8)))*('01_Inputs'!$B$49)*('01_Inputs'!$C$14)))+((0*'01_Inputs'!$C$5))+((((('01_Inputs'!$C$5)*('01_Inputs'!$C$8)))*('01_Inputs'!$D$49)*('01_Inputs'!$C$14))))))+0*('01_Inputs'!$C$5))</x:f>
        <x:v>16386.5</x:v>
      </x:c>
      <x:c r="O24" s="66" t="n">
        <x:f>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/(('01_Inputs'!$C$31)*('02_HW'!$C$6))*('02_HW'!$C$10))</x:f>
        <x:v>0.00868265631771288</x:v>
      </x:c>
      <x:c r="P24" s="66" t="n">
        <x:f>(((1+0*'01_Inputs'!$C$5))*(((((('01_Inputs'!$C$5)*('01_Inputs'!$C$8)))*('01_Inputs'!$B$49)*('01_Inputs'!$C$14)))+((0*'01_Inputs'!$C$5))+((((('01_Inputs'!$C$5)*('01_Inputs'!$C$8)))*('01_Inputs'!$D$49)*('01_Inputs'!$C$14))))/(('01_Inputs'!$C$32)*('02_HW'!$C$7))*('02_HW'!$C$10))</x:f>
        <x:v>0.0001565038805970149</x:v>
      </x:c>
      <x:c r="Q24" s="66" t="n">
        <x:f>(MAX((((1+0*'01_Inputs'!$C$5))*((2*((('01_Inputs'!$C$5)*('01_Inputs'!$C$8)))*((('01_Inputs'!$B$49)*('01_Inputs'!$C$49)+('01_Inputs'!$C$49)*('01_Inputs'!$D$49)))+((('01_Inputs'!$C$5)*('01_Inputs'!$C$8)))*(('01_Inputs'!$C$37)*('01_Inputs'!$C$49)+('01_Inputs'!$C$38)*('01_Inputs'!$D$49))))/(('01_Inputs'!$C$31)*('02_HW'!$C$6))*('02_HW'!$C$10)),(((1+0*'01_Inputs'!$C$5))*(((((('01_Inputs'!$C$5)*('01_Inputs'!$C$8)))*('01_Inputs'!$B$49)*('01_Inputs'!$C$14)))+((0*'01_Inputs'!$C$5))+((((('01_Inputs'!$C$5)*('01_Inputs'!$C$8)))*('01_Inputs'!$D$49)*('01_Inputs'!$C$14))))/(('01_Inputs'!$C$32)*('02_HW'!$C$7))*('02_HW'!$C$10)))+((1+0*'01_Inputs'!$C$5))*('02_HW'!$C$9)*('02_HW'!$C$10))</x:f>
        <x:v>0.00868265631771288</x:v>
      </x:c>
      <x:c r="R24" s="21" t="str">
        <x:f>IF(O24&gt;P24,"compute",IF(P24&gt;O24,"memory","balanced"))&amp;IF('01_Inputs'!$C$5&gt;0,"","")</x:f>
        <x:v>compute</x:v>
      </x:c>
      <x:c r="S24" s="24" t="str">
        <x:v>Explicit prediction term.</x:v>
      </x:c>
    </x:row>
    <x:row r="25">
      <x:c r="A25" s="21" t="n">
        <x:f>ROW()-11+0*('01_Inputs'!$C$5)</x:f>
        <x:v>14</x:v>
      </x:c>
      <x:c r="B25" s="21" t="str">
        <x:v>decode</x:v>
      </x:c>
      <x:c r="C25" s="21" t="str">
        <x:v>titans_update</x:v>
      </x:c>
      <x:c r="D25" s="21" t="str">
        <x:v>M_v_weight_backward</x:v>
      </x:c>
      <x:c r="E25" s="24" t="str">
        <x:v>2NIH + 4NHO</x:v>
      </x:c>
      <x:c r="F25" s="66" t="n">
        <x:f>(1+0*'01_Inputs'!$C$5)</x:f>
        <x:v>1</x:v>
      </x:c>
      <x:c r="G25" s="69" t="n">
        <x:f>(2*((('01_Inputs'!$C$5)*('01_Inputs'!$C$8)))*('01_Inputs'!$B$49)*('01_Inputs'!$C$49)+4*((('01_Inputs'!$C$5)*('01_Inputs'!$C$8)))*('01_Inputs'!$C$49)*('01_Inputs'!$D$49))</x:f>
        <x:v>12884901888</x:v>
      </x:c>
      <x:c r="H25" s="69" t="n">
        <x:f>(((('01_Inputs'!$C$5)*('01_Inputs'!$C$8)))*(('01_Inputs'!$B$49)+('01_Inputs'!$C$49)+('01_Inputs'!$D$49))*('01_Inputs'!$C$14))</x:f>
        <x:v>786432</x:v>
      </x:c>
      <x:c r="I25" s="69" t="n">
        <x:f>(0*'01_Inputs'!$C$5)</x:f>
        <x:v>0</x:v>
      </x:c>
      <x:c r="J25" s="69" t="n">
        <x:f>(('01_Inputs'!$C$5)*((('01_Inputs'!$B$49)*('01_Inputs'!$C$49)+('01_Inputs'!$C$49)*('01_Inputs'!$D$49)))*('01_Inputs'!$C$36))</x:f>
        <x:v>17179869184</x:v>
      </x:c>
      <x:c r="K25" s="69" t="n">
        <x:f>((1+0*'01_Inputs'!$C$5))*((((('01_Inputs'!$C$5)*('01_Inputs'!$C$8)))*(('01_Inputs'!$B$49)+('01_Inputs'!$C$49)+('01_Inputs'!$D$49))*('01_Inputs'!$C$14)))+0*('01_Inputs'!$C$5)</x:f>
        <x:v>786432</x:v>
      </x:c>
      <x:c r="L25" s="69" t="n">
        <x:f>((1+0*'01_Inputs'!$C$5))*(((0*'01_Inputs'!$C$5))+((('01_Inputs'!$C$5)*((('01_Inputs'!$B$49)*('01_Inputs'!$C$49)+('01_Inputs'!$C$49)*('01_Inputs'!$D$49)))*('01_Inputs'!$C$36))))+0*('01_Inputs'!$C$5)</x:f>
        <x:v>17179869184</x:v>
      </x:c>
      <x:c r="M25" s="69" t="n">
        <x:f>(0*'01_Inputs'!$C$5)</x:f>
        <x:v>0</x:v>
      </x:c>
      <x:c r="N25" s="66" t="n">
        <x:f>IF((((1+0*'01_Inputs'!$C$5))*(((((('01_Inputs'!$C$5)*('01_Inputs'!$C$8)))*(('01_Inputs'!$B$49)+('01_Inputs'!$C$49)+('01_Inputs'!$D$49))*('01_Inputs'!$C$14)))+((0*'01_Inputs'!$C$5))+((('01_Inputs'!$C$5)*((('01_Inputs'!$B$49)*('01_Inputs'!$C$49)+('01_Inputs'!$C$49)*('01_Inputs'!$D$49)))*('01_Inputs'!$C$36)))))=0,"",(((1+0*'01_Inputs'!$C$5))*((2*((('01_Inputs'!$C$5)*('01_Inputs'!$C$8)))*('01_Inputs'!$B$49)*('01_Inputs'!$C$49)+4*((('01_Inputs'!$C$5)*('01_Inputs'!$C$8)))*('01_Inputs'!$C$49)*('01_Inputs'!$D$49))))/((((1+0*'01_Inputs'!$C$5))*(((((('01_Inputs'!$C$5)*('01_Inputs'!$C$8)))*(('01_Inputs'!$B$49)+('01_Inputs'!$C$49)+('01_Inputs'!$D$49))*('01_Inputs'!$C$14)))+((0*'01_Inputs'!$C$5))+((('01_Inputs'!$C$5)*((('01_Inputs'!$B$49)*('01_Inputs'!$C$49)+('01_Inputs'!$C$49)*('01_Inputs'!$D$49)))*('01_Inputs'!$C$36))))))+0*('01_Inputs'!$C$5))</x:f>
        <x:v>0.7499656692961443</x:v>
      </x:c>
      <x:c r="O25" s="66" t="n">
        <x:f>(((1+0*'01_Inputs'!$C$5))*((2*((('01_Inputs'!$C$5)*('01_Inputs'!$C$8)))*('01_Inputs'!$B$49)*('01_Inputs'!$C$49)+4*((('01_Inputs'!$C$5)*('01_Inputs'!$C$8)))*('01_Inputs'!$C$49)*('01_Inputs'!$D$49)))/(('01_Inputs'!$C$31)*('02_HW'!$C$6))*('02_HW'!$C$10))</x:f>
        <x:v>0.013021997477442515</x:v>
      </x:c>
      <x:c r="P25" s="66" t="n">
        <x:f>(((1+0*'01_Inputs'!$C$5))*(((((('01_Inputs'!$C$5)*('01_Inputs'!$C$8)))*(('01_Inputs'!$B$49)+('01_Inputs'!$C$49)+('01_Inputs'!$D$49))*('01_Inputs'!$C$14)))+((0*'01_Inputs'!$C$5))+((('01_Inputs'!$C$5)*((('01_Inputs'!$B$49)*('01_Inputs'!$C$49)+('01_Inputs'!$C$49)*('01_Inputs'!$D$49)))*('01_Inputs'!$C$36))))/(('01_Inputs'!$C$32)*('02_HW'!$C$7))*('02_HW'!$C$10))</x:f>
        <x:v>5.12855391522388</x:v>
      </x:c>
      <x:c r="Q25" s="66" t="n">
        <x:f>(MAX((((1+0*'01_Inputs'!$C$5))*((2*((('01_Inputs'!$C$5)*('01_Inputs'!$C$8)))*('01_Inputs'!$B$49)*('01_Inputs'!$C$49)+4*((('01_Inputs'!$C$5)*('01_Inputs'!$C$8)))*('01_Inputs'!$C$49)*('01_Inputs'!$D$49)))/(('01_Inputs'!$C$31)*('02_HW'!$C$6))*('02_HW'!$C$10)),(((1+0*'01_Inputs'!$C$5))*(((((('01_Inputs'!$C$5)*('01_Inputs'!$C$8)))*(('01_Inputs'!$B$49)+('01_Inputs'!$C$49)+('01_Inputs'!$D$49))*('01_Inputs'!$C$14)))+((0*'01_Inputs'!$C$5))+((('01_Inputs'!$C$5)*((('01_Inputs'!$B$49)*('01_Inputs'!$C$49)+('01_Inputs'!$C$49)*('01_Inputs'!$D$49)))*('01_Inputs'!$C$36))))/(('01_Inputs'!$C$32)*('02_HW'!$C$7))*('02_HW'!$C$10)))+((1+0*'01_Inputs'!$C$5))*('02_HW'!$C$9)*('02_HW'!$C$10))</x:f>
        <x:v>5.12855391522388</x:v>
      </x:c>
      <x:c r="R25" s="21" t="str">
        <x:f>IF(O25&gt;P25,"compute",IF(P25&gt;O25,"memory","balanced"))&amp;IF('01_Inputs'!$C$5&gt;0,"","")</x:f>
        <x:v>memory</x:v>
      </x:c>
      <x:c r="S25" s="24" t="str">
        <x:v>Weight-gradient backward; no input gradient.</x:v>
      </x:c>
    </x:row>
    <x:row r="26">
      <x:c r="A26" s="21" t="n">
        <x:f>ROW()-11+0*('01_Inputs'!$C$5)</x:f>
        <x:v>15</x:v>
      </x:c>
      <x:c r="B26" s="21" t="str">
        <x:v>decode</x:v>
      </x:c>
      <x:c r="C26" s="21" t="str">
        <x:v>titans_update</x:v>
      </x:c>
      <x:c r="D26" s="21" t="str">
        <x:v>M_v_dgd_extra</x:v>
      </x:c>
      <x:c r="E26" s="24" t="str">
        <x:v>μFfwd − (2Ffwd+Fbwd)</x:v>
      </x:c>
      <x:c r="F26" s="66" t="n">
        <x:f>(1+0*'01_Inputs'!$C$5)</x:f>
        <x:v>1</x:v>
      </x:c>
      <x:c r="G26" s="69" t="n">
        <x:f>(('01_Inputs'!$G$49)*((2*((('01_Inputs'!$C$5)*('01_Inputs'!$C$8)))*((('01_Inputs'!$B$49)*('01_Inputs'!$C$49)+('01_Inputs'!$C$49)*('01_Inputs'!$D$49)))+((('01_Inputs'!$C$5)*('01_Inputs'!$C$8)))*(('01_Inputs'!$C$37)*('01_Inputs'!$C$49)+('01_Inputs'!$C$38)*('01_Inputs'!$D$49))))-(2*((2*((('01_Inputs'!$C$5)*('01_Inputs'!$C$8)))*((('01_Inputs'!$B$49)*('01_Inputs'!$C$49)+('01_Inputs'!$C$49)*('01_Inputs'!$D$49)))+((('01_Inputs'!$C$5)*('01_Inputs'!$C$8)))*(('01_Inputs'!$C$37)*('01_Inputs'!$C$49)+('01_Inputs'!$C$38)*('01_Inputs'!$D$49))))+((2*((('01_Inputs'!$C$5)*('01_Inputs'!$C$8)))*('01_Inputs'!$B$49)*('01_Inputs'!$C$49)+4*((('01_Inputs'!$C$5)*('01_Inputs'!$C$8)))*('01_Inputs'!$C$49)*('01_Inputs'!$D$49)))))</x:f>
        <x:v>4297588736</x:v>
      </x:c>
      <x:c r="H26" s="69" t="n">
        <x:f>(('01_Inputs'!$C$5)*((('01_Inputs'!$B$49)*('01_Inputs'!$C$49)+('01_Inputs'!$C$49)*('01_Inputs'!$D$49)))*('01_Inputs'!$C$36))</x:f>
        <x:v>17179869184</x:v>
      </x:c>
      <x:c r="I26" s="69" t="n">
        <x:f>(0*'01_Inputs'!$C$5)</x:f>
        <x:v>0</x:v>
      </x:c>
      <x:c r="J26" s="69" t="n">
        <x:f>(('01_Inputs'!$C$5)*((('01_Inputs'!$B$49)*('01_Inputs'!$C$49)+('01_Inputs'!$C$49)*('01_Inputs'!$D$49)))*('01_Inputs'!$C$36))</x:f>
        <x:v>17179869184</x:v>
      </x:c>
      <x:c r="K26" s="69" t="n">
        <x:f>((1+0*'01_Inputs'!$C$5))*((('01_Inputs'!$C$5)*((('01_Inputs'!$B$49)*('01_Inputs'!$C$49)+('01_Inputs'!$C$49)*('01_Inputs'!$D$49)))*('01_Inputs'!$C$36)))+0*('01_Inputs'!$C$5)</x:f>
        <x:v>17179869184</x:v>
      </x:c>
      <x:c r="L26" s="69" t="n">
        <x:f>((1+0*'01_Inputs'!$C$5))*(((0*'01_Inputs'!$C$5))+((('01_Inputs'!$C$5)*((('01_Inputs'!$B$49)*('01_Inputs'!$C$49)+('01_Inputs'!$C$49)*('01_Inputs'!$D$49)))*('01_Inputs'!$C$36))))+0*('01_Inputs'!$C$5)</x:f>
        <x:v>17179869184</x:v>
      </x:c>
      <x:c r="M26" s="69" t="n">
        <x:f>(0*'01_Inputs'!$C$5)</x:f>
        <x:v>0</x:v>
      </x:c>
      <x:c r="N26" s="66" t="n">
        <x:f>IF(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)=0,"",(((1+0*'01_Inputs'!$C$5))*((('01_Inputs'!$G$49)*((2*((('01_Inputs'!$C$5)*('01_Inputs'!$C$8)))*((('01_Inputs'!$B$49)*('01_Inputs'!$C$49)+('01_Inputs'!$C$49)*('01_Inputs'!$D$49)))+((('01_Inputs'!$C$5)*('01_Inputs'!$C$8)))*(('01_Inputs'!$C$37)*('01_Inputs'!$C$49)+('01_Inputs'!$C$38)*('01_Inputs'!$D$49))))-(2*((2*((('01_Inputs'!$C$5)*('01_Inputs'!$C$8)))*((('01_Inputs'!$B$49)*('01_Inputs'!$C$49)+('01_Inputs'!$C$49)*('01_Inputs'!$D$49)))+((('01_Inputs'!$C$5)*('01_Inputs'!$C$8)))*(('01_Inputs'!$C$37)*('01_Inputs'!$C$49)+('01_Inputs'!$C$38)*('01_Inputs'!$D$49))))+((2*((('01_Inputs'!$C$5)*('01_Inputs'!$C$8)))*('01_Inputs'!$B$49)*('01_Inputs'!$C$49)+4*((('01_Inputs'!$C$5)*('01_Inputs'!$C$8)))*('01_Inputs'!$C$49)*('01_Inputs'!$D$49)))))))/(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))+0*('01_Inputs'!$C$5))</x:f>
        <x:v>0.1250762939453125</x:v>
      </x:c>
      <x:c r="O26" s="66" t="n">
        <x:f>(((1+0*'01_Inputs'!$C$5))*((('01_Inputs'!$G$49)*((2*((('01_Inputs'!$C$5)*('01_Inputs'!$C$8)))*((('01_Inputs'!$B$49)*('01_Inputs'!$C$49)+('01_Inputs'!$C$49)*('01_Inputs'!$D$49)))+((('01_Inputs'!$C$5)*('01_Inputs'!$C$8)))*(('01_Inputs'!$C$37)*('01_Inputs'!$C$49)+('01_Inputs'!$C$38)*('01_Inputs'!$D$49))))-(2*((2*((('01_Inputs'!$C$5)*('01_Inputs'!$C$8)))*((('01_Inputs'!$B$49)*('01_Inputs'!$C$49)+('01_Inputs'!$C$49)*('01_Inputs'!$D$49)))+((('01_Inputs'!$C$5)*('01_Inputs'!$C$8)))*(('01_Inputs'!$C$37)*('01_Inputs'!$C$49)+('01_Inputs'!$C$38)*('01_Inputs'!$D$49))))+((2*((('01_Inputs'!$C$5)*('01_Inputs'!$C$8)))*('01_Inputs'!$B$49)*('01_Inputs'!$C$49)+4*((('01_Inputs'!$C$5)*('01_Inputs'!$C$8)))*('01_Inputs'!$C$49)*('01_Inputs'!$D$49))))))/(('01_Inputs'!$C$31)*('02_HW'!$C$6))*('02_HW'!$C$10))</x:f>
        <x:v>0.0043433151579832475</x:v>
      </x:c>
      <x:c r="P26" s="66" t="n">
        <x:f>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/(('01_Inputs'!$C$32)*('02_HW'!$C$7))*('02_HW'!$C$10))</x:f>
        <x:v>10.256638318805969</x:v>
      </x:c>
      <x:c r="Q26" s="66" t="n">
        <x:f>(MAX((((1+0*'01_Inputs'!$C$5))*((('01_Inputs'!$G$49)*((2*((('01_Inputs'!$C$5)*('01_Inputs'!$C$8)))*((('01_Inputs'!$B$49)*('01_Inputs'!$C$49)+('01_Inputs'!$C$49)*('01_Inputs'!$D$49)))+((('01_Inputs'!$C$5)*('01_Inputs'!$C$8)))*(('01_Inputs'!$C$37)*('01_Inputs'!$C$49)+('01_Inputs'!$C$38)*('01_Inputs'!$D$49))))-(2*((2*((('01_Inputs'!$C$5)*('01_Inputs'!$C$8)))*((('01_Inputs'!$B$49)*('01_Inputs'!$C$49)+('01_Inputs'!$C$49)*('01_Inputs'!$D$49)))+((('01_Inputs'!$C$5)*('01_Inputs'!$C$8)))*(('01_Inputs'!$C$37)*('01_Inputs'!$C$49)+('01_Inputs'!$C$38)*('01_Inputs'!$D$49))))+((2*((('01_Inputs'!$C$5)*('01_Inputs'!$C$8)))*('01_Inputs'!$B$49)*('01_Inputs'!$C$49)+4*((('01_Inputs'!$C$5)*('01_Inputs'!$C$8)))*('01_Inputs'!$C$49)*('01_Inputs'!$D$49))))))/(('01_Inputs'!$C$31)*('02_HW'!$C$6))*('02_HW'!$C$10)),(((1+0*'01_Inputs'!$C$5))*(((('01_Inputs'!$C$5)*((('01_Inputs'!$B$49)*('01_Inputs'!$C$49)+('01_Inputs'!$C$49)*('01_Inputs'!$D$49)))*('01_Inputs'!$C$36)))+((0*'01_Inputs'!$C$5))+((('01_Inputs'!$C$5)*((('01_Inputs'!$B$49)*('01_Inputs'!$C$49)+('01_Inputs'!$C$49)*('01_Inputs'!$D$49)))*('01_Inputs'!$C$36))))/(('01_Inputs'!$C$32)*('02_HW'!$C$7))*('02_HW'!$C$10)))+((1+0*'01_Inputs'!$C$5))*('02_HW'!$C$9)*('02_HW'!$C$10))</x:f>
        <x:v>10.256638318805969</x:v>
      </x:c>
      <x:c r="R26" s="21" t="str">
        <x:f>IF(O26&gt;P26,"compute",IF(P26&gt;O26,"memory","balanced"))&amp;IF('01_Inputs'!$C$5&gt;0,"","")</x:f>
        <x:v>memory</x:v>
      </x:c>
      <x:c r="S26" s="24" t="str">
        <x:v>Residual DGD calibration.</x:v>
      </x:c>
    </x:row>
    <x:row r="27">
      <x:c r="A27" s="21" t="n">
        <x:f>ROW()-11+0*('01_Inputs'!$C$5)</x:f>
        <x:v>16</x:v>
      </x:c>
      <x:c r="B27" s="21" t="str">
        <x:v>decode</x:v>
      </x:c>
      <x:c r="C27" s="21" t="str">
        <x:v>titans_update</x:v>
      </x:c>
      <x:c r="D27" s="21" t="str">
        <x:v>M_v_state_apply</x:v>
      </x:c>
      <x:c r="E27" s="24" t="str">
        <x:v>B(1+m)Pbs read + write</x:v>
      </x:c>
      <x:c r="F27" s="66" t="n">
        <x:f>(1/('01_Inputs'!$E$49)+0*'01_Inputs'!$C$5)</x:f>
        <x:v>0.00048828125</x:v>
      </x:c>
      <x:c r="G27" s="69" t="n">
        <x:f>(0*'01_Inputs'!$C$5)</x:f>
        <x:v>0</x:v>
      </x:c>
      <x:c r="H27" s="69" t="n">
        <x:f>(('01_Inputs'!$C$5)*(1+('01_Inputs'!$F$49))*((('01_Inputs'!$B$49)*('01_Inputs'!$C$49)+('01_Inputs'!$C$49)*('01_Inputs'!$D$49)))*('01_Inputs'!$C$35))</x:f>
        <x:v>8589934592</x:v>
      </x:c>
      <x:c r="I27" s="69" t="n">
        <x:f>(('01_Inputs'!$C$5)*(1+('01_Inputs'!$F$49))*((('01_Inputs'!$B$49)*('01_Inputs'!$C$49)+('01_Inputs'!$C$49)*('01_Inputs'!$D$49)))*('01_Inputs'!$C$35))</x:f>
        <x:v>8589934592</x:v>
      </x:c>
      <x:c r="J27" s="69" t="n">
        <x:f>(0*'01_Inputs'!$C$5)</x:f>
        <x:v>0</x:v>
      </x:c>
      <x:c r="K27" s="69" t="n">
        <x:f>((1/('01_Inputs'!$E$49)+0*'01_Inputs'!$C$5))*((('01_Inputs'!$C$5)*(1+('01_Inputs'!$F$49))*((('01_Inputs'!$B$49)*('01_Inputs'!$C$49)+('01_Inputs'!$C$49)*('01_Inputs'!$D$49)))*('01_Inputs'!$C$35)))+0*('01_Inputs'!$C$5)</x:f>
        <x:v>4194304</x:v>
      </x:c>
      <x:c r="L27" s="69" t="n">
        <x:f>((1/('01_Inputs'!$E$49)+0*'01_Inputs'!$C$5))*(((('01_Inputs'!$C$5)*(1+('01_Inputs'!$F$49))*((('01_Inputs'!$B$49)*('01_Inputs'!$C$49)+('01_Inputs'!$C$49)*('01_Inputs'!$D$49)))*('01_Inputs'!$C$35)))+((0*'01_Inputs'!$C$5)))+0*('01_Inputs'!$C$5)</x:f>
        <x:v>4194304</x:v>
      </x:c>
      <x:c r="M27" s="69" t="n">
        <x:f>(0*'01_Inputs'!$C$5)</x:f>
        <x:v>0</x:v>
      </x:c>
      <x:c r="N27" s="66" t="n">
        <x:f>IF((((1/('01_Inputs'!$E$49)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)=0,"",(((1/('01_Inputs'!$E$49)+0*'01_Inputs'!$C$5))*((0*'01_Inputs'!$C$5)))/((((1/('01_Inputs'!$E$49)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))+0*('01_Inputs'!$C$5))</x:f>
        <x:v>0</x:v>
      </x:c>
      <x:c r="O27" s="66" t="n">
        <x:f>(((1/('01_Inputs'!$E$49)+0*'01_Inputs'!$C$5))*((0*'01_Inputs'!$C$5))/(('01_Inputs'!$C$31)*('02_HW'!$C$6))*('02_HW'!$C$10))</x:f>
        <x:v>0</x:v>
      </x:c>
      <x:c r="P27" s="66" t="n">
        <x:f>(((1/('01_Inputs'!$E$49)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/(('01_Inputs'!$C$32)*('02_HW'!$C$7))*('02_HW'!$C$10))</x:f>
        <x:v>0.0025040620895522385</x:v>
      </x:c>
      <x:c r="Q27" s="66" t="n">
        <x:f>(MAX((((1/('01_Inputs'!$E$49)+0*'01_Inputs'!$C$5))*((0*'01_Inputs'!$C$5))/(('01_Inputs'!$C$31)*('02_HW'!$C$6))*('02_HW'!$C$10)),(((1/('01_Inputs'!$E$49)+0*'01_Inputs'!$C$5))*(((('01_Inputs'!$C$5)*(1+('01_Inputs'!$F$49))*((('01_Inputs'!$B$49)*('01_Inputs'!$C$49)+('01_Inputs'!$C$49)*('01_Inputs'!$D$49)))*('01_Inputs'!$C$35)))+((('01_Inputs'!$C$5)*(1+('01_Inputs'!$F$49))*((('01_Inputs'!$B$49)*('01_Inputs'!$C$49)+('01_Inputs'!$C$49)*('01_Inputs'!$D$49)))*('01_Inputs'!$C$35)))+((0*'01_Inputs'!$C$5)))/(('01_Inputs'!$C$32)*('02_HW'!$C$7))*('02_HW'!$C$10)))+((1/('01_Inputs'!$E$49)+0*'01_Inputs'!$C$5))*('02_HW'!$C$9)*('02_HW'!$C$10))</x:f>
        <x:v>0.0025040620895522385</x:v>
      </x:c>
      <x:c r="R27" s="21" t="str">
        <x:f>IF(O27&gt;P27,"compute",IF(P27&gt;O27,"memory","balanced"))&amp;IF('01_Inputs'!$C$5&gt;0,"","")</x:f>
        <x:v>memory</x:v>
      </x:c>
      <x:c r="S27" s="24" t="str">
        <x:v>amortized decode state RMW.</x:v>
      </x:c>
    </x:row>
    <x:row r="28">
      <x:c r="A28" s="21" t="n">
        <x:f>ROW()-11+0*('01_Inputs'!$C$5)</x:f>
        <x:v>17</x:v>
      </x:c>
      <x:c r="B28" s="21" t="str">
        <x:v>decode</x:v>
      </x:c>
      <x:c r="C28" s="21" t="str">
        <x:v>titans_update</x:v>
      </x:c>
      <x:c r="D28" s="21" t="str">
        <x:v>M_eta_target_forward</x:v>
      </x:c>
      <x:c r="E28" s="24" t="str">
        <x:v>Ffwd(N)</x:v>
      </x:c>
      <x:c r="F28" s="66" t="n">
        <x:f>(1+0*'01_Inputs'!$C$5)</x:f>
        <x:v>1</x:v>
      </x:c>
      <x:c r="G28" s="69" t="n">
        <x:f>(2*((('01_Inputs'!$C$5)*('01_Inputs'!$C$8)))*((('01_Inputs'!$B$50)*('01_Inputs'!$C$50)+('01_Inputs'!$C$50)*('01_Inputs'!$D$50)))+((('01_Inputs'!$C$5)*('01_Inputs'!$C$8)))*(('01_Inputs'!$C$37)*('01_Inputs'!$C$50)+('01_Inputs'!$C$38)*('01_Inputs'!$D$50)))</x:f>
        <x:v>4296540192</x:v>
      </x:c>
      <x:c r="H28" s="69" t="n">
        <x:f>(((((('01_Inputs'!$C$5)*('01_Inputs'!$C$8)))*('01_Inputs'!$B$50)*('01_Inputs'!$C$14)))+('01_Inputs'!$C$5)*((('01_Inputs'!$B$50)*('01_Inputs'!$C$50)+('01_Inputs'!$C$50)*('01_Inputs'!$D$50)))*('01_Inputs'!$C$35)*('01_Inputs'!$H$50))</x:f>
        <x:v>2148007936</x:v>
      </x:c>
      <x:c r="I28" s="69" t="n">
        <x:f>(0*'01_Inputs'!$C$5)</x:f>
        <x:v>0</x:v>
      </x:c>
      <x:c r="J28" s="69" t="n">
        <x:f>(((('01_Inputs'!$C$5)*('01_Inputs'!$C$8)))*('01_Inputs'!$D$50)*('01_Inputs'!$C$14))</x:f>
        <x:v>32</x:v>
      </x:c>
      <x:c r="K28" s="69" t="n">
        <x:f>((1+0*'01_Inputs'!$C$5))*((((((('01_Inputs'!$C$5)*('01_Inputs'!$C$8)))*('01_Inputs'!$B$50)*('01_Inputs'!$C$14)))+('01_Inputs'!$C$5)*((('01_Inputs'!$B$50)*('01_Inputs'!$C$50)+('01_Inputs'!$C$50)*('01_Inputs'!$D$50)))*('01_Inputs'!$C$35)*('01_Inputs'!$H$50)))+0*('01_Inputs'!$C$5)</x:f>
        <x:v>2148007936</x:v>
      </x:c>
      <x:c r="L28" s="69" t="n">
        <x:f>((1+0*'01_Inputs'!$C$5))*(((0*'01_Inputs'!$C$5))+((((('01_Inputs'!$C$5)*('01_Inputs'!$C$8)))*('01_Inputs'!$D$50)*('01_Inputs'!$C$14))))+0*('01_Inputs'!$C$5)</x:f>
        <x:v>32</x:v>
      </x:c>
      <x:c r="M28" s="69" t="n">
        <x:f>(0*'01_Inputs'!$C$5)</x:f>
        <x:v>0</x:v>
      </x:c>
      <x:c r="N28" s="66" t="n">
        <x:f>IF(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)=0,"",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)/(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))+0*('01_Inputs'!$C$5))</x:f>
        <x:v>2.0002440661337437</x:v>
      </x:c>
      <x:c r="O28" s="66" t="n">
        <x:f>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/(('01_Inputs'!$C$31)*('02_HW'!$C$6))*('02_HW'!$C$10))</x:f>
        <x:v>0.004342255457456098</x:v>
      </x:c>
      <x:c r="P28" s="66" t="n">
        <x:f>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/(('01_Inputs'!$C$32)*('02_HW'!$C$7))*('02_HW'!$C$10))</x:f>
        <x:v>0.6411964083582089</x:v>
      </x:c>
      <x:c r="Q28" s="66" t="n">
        <x:f>(MAX(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/(('01_Inputs'!$C$31)*('02_HW'!$C$6))*('02_HW'!$C$10)),(((1+0*'01_Inputs'!$C$5))*(((((((('01_Inputs'!$C$5)*('01_Inputs'!$C$8)))*('01_Inputs'!$B$50)*('01_Inputs'!$C$14)))+('01_Inputs'!$C$5)*((('01_Inputs'!$B$50)*('01_Inputs'!$C$50)+('01_Inputs'!$C$50)*('01_Inputs'!$D$50)))*('01_Inputs'!$C$35)*('01_Inputs'!$H$50)))+((0*'01_Inputs'!$C$5))+((((('01_Inputs'!$C$5)*('01_Inputs'!$C$8)))*('01_Inputs'!$D$50)*('01_Inputs'!$C$14))))/(('01_Inputs'!$C$32)*('02_HW'!$C$7))*('02_HW'!$C$10)))+((1+0*'01_Inputs'!$C$5))*('02_HW'!$C$9)*('02_HW'!$C$10))</x:f>
        <x:v>0.6411964083582089</x:v>
      </x:c>
      <x:c r="R28" s="21" t="str">
        <x:f>IF(O28&gt;P28,"compute",IF(P28&gt;O28,"memory","balanced"))&amp;IF('01_Inputs'!$C$5&gt;0,"","")</x:f>
        <x:v>memory</x:v>
      </x:c>
      <x:c r="S28" s="24" t="str">
        <x:v>Explicit self-target term.</x:v>
      </x:c>
    </x:row>
    <x:row r="29">
      <x:c r="A29" s="21" t="n">
        <x:f>ROW()-11+0*('01_Inputs'!$C$5)</x:f>
        <x:v>18</x:v>
      </x:c>
      <x:c r="B29" s="21" t="str">
        <x:v>decode</x:v>
      </x:c>
      <x:c r="C29" s="21" t="str">
        <x:v>titans_update</x:v>
      </x:c>
      <x:c r="D29" s="21" t="str">
        <x:v>M_eta_prediction_forward</x:v>
      </x:c>
      <x:c r="E29" s="24" t="str">
        <x:v>Ffwd(N)</x:v>
      </x:c>
      <x:c r="F29" s="66" t="n">
        <x:f>(1+0*'01_Inputs'!$C$5)</x:f>
        <x:v>1</x:v>
      </x:c>
      <x:c r="G29" s="69" t="n">
        <x:f>(2*((('01_Inputs'!$C$5)*('01_Inputs'!$C$8)))*((('01_Inputs'!$B$50)*('01_Inputs'!$C$50)+('01_Inputs'!$C$50)*('01_Inputs'!$D$50)))+((('01_Inputs'!$C$5)*('01_Inputs'!$C$8)))*(('01_Inputs'!$C$37)*('01_Inputs'!$C$50)+('01_Inputs'!$C$38)*('01_Inputs'!$D$50)))</x:f>
        <x:v>4296540192</x:v>
      </x:c>
      <x:c r="H29" s="69" t="n">
        <x:f>(((('01_Inputs'!$C$5)*('01_Inputs'!$C$8)))*('01_Inputs'!$B$50)*('01_Inputs'!$C$14))</x:f>
        <x:v>262144</x:v>
      </x:c>
      <x:c r="I29" s="69" t="n">
        <x:f>(0*'01_Inputs'!$C$5)</x:f>
        <x:v>0</x:v>
      </x:c>
      <x:c r="J29" s="69" t="n">
        <x:f>(((('01_Inputs'!$C$5)*('01_Inputs'!$C$8)))*('01_Inputs'!$D$50)*('01_Inputs'!$C$14))</x:f>
        <x:v>32</x:v>
      </x:c>
      <x:c r="K29" s="69" t="n">
        <x:f>((1+0*'01_Inputs'!$C$5))*((((('01_Inputs'!$C$5)*('01_Inputs'!$C$8)))*('01_Inputs'!$B$50)*('01_Inputs'!$C$14)))+0*('01_Inputs'!$C$5)</x:f>
        <x:v>262144</x:v>
      </x:c>
      <x:c r="L29" s="69" t="n">
        <x:f>((1+0*'01_Inputs'!$C$5))*(((0*'01_Inputs'!$C$5))+((((('01_Inputs'!$C$5)*('01_Inputs'!$C$8)))*('01_Inputs'!$D$50)*('01_Inputs'!$C$14))))+0*('01_Inputs'!$C$5)</x:f>
        <x:v>32</x:v>
      </x:c>
      <x:c r="M29" s="69" t="n">
        <x:f>(0*'01_Inputs'!$C$5)</x:f>
        <x:v>0</x:v>
      </x:c>
      <x:c r="N29" s="66" t="n">
        <x:f>IF((((1+0*'01_Inputs'!$C$5))*(((((('01_Inputs'!$C$5)*('01_Inputs'!$C$8)))*('01_Inputs'!$B$50)*('01_Inputs'!$C$14)))+((0*'01_Inputs'!$C$5))+((((('01_Inputs'!$C$5)*('01_Inputs'!$C$8)))*('01_Inputs'!$D$50)*('01_Inputs'!$C$14)))))=0,"",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)/((((1+0*'01_Inputs'!$C$5))*(((((('01_Inputs'!$C$5)*('01_Inputs'!$C$8)))*('01_Inputs'!$B$50)*('01_Inputs'!$C$14)))+((0*'01_Inputs'!$C$5))+((((('01_Inputs'!$C$5)*('01_Inputs'!$C$8)))*('01_Inputs'!$D$50)*('01_Inputs'!$C$14))))))+0*('01_Inputs'!$C$5))</x:f>
        <x:v>16387.999633833762</x:v>
      </x:c>
      <x:c r="O29" s="66" t="n">
        <x:f>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/(('01_Inputs'!$C$31)*('02_HW'!$C$6))*('02_HW'!$C$10))</x:f>
        <x:v>0.004342255457456098</x:v>
      </x:c>
      <x:c r="P29" s="66" t="n">
        <x:f>(((1+0*'01_Inputs'!$C$5))*(((((('01_Inputs'!$C$5)*('01_Inputs'!$C$8)))*('01_Inputs'!$B$50)*('01_Inputs'!$C$14)))+((0*'01_Inputs'!$C$5))+((((('01_Inputs'!$C$5)*('01_Inputs'!$C$8)))*('01_Inputs'!$D$50)*('01_Inputs'!$C$14))))/(('01_Inputs'!$C$32)*('02_HW'!$C$7))*('02_HW'!$C$10))</x:f>
        <x:v>0.00007826149253731343</x:v>
      </x:c>
      <x:c r="Q29" s="66" t="n">
        <x:f>(MAX((((1+0*'01_Inputs'!$C$5))*((2*((('01_Inputs'!$C$5)*('01_Inputs'!$C$8)))*((('01_Inputs'!$B$50)*('01_Inputs'!$C$50)+('01_Inputs'!$C$50)*('01_Inputs'!$D$50)))+((('01_Inputs'!$C$5)*('01_Inputs'!$C$8)))*(('01_Inputs'!$C$37)*('01_Inputs'!$C$50)+('01_Inputs'!$C$38)*('01_Inputs'!$D$50))))/(('01_Inputs'!$C$31)*('02_HW'!$C$6))*('02_HW'!$C$10)),(((1+0*'01_Inputs'!$C$5))*(((((('01_Inputs'!$C$5)*('01_Inputs'!$C$8)))*('01_Inputs'!$B$50)*('01_Inputs'!$C$14)))+((0*'01_Inputs'!$C$5))+((((('01_Inputs'!$C$5)*('01_Inputs'!$C$8)))*('01_Inputs'!$D$50)*('01_Inputs'!$C$14))))/(('01_Inputs'!$C$32)*('02_HW'!$C$7))*('02_HW'!$C$10)))+((1+0*'01_Inputs'!$C$5))*('02_HW'!$C$9)*('02_HW'!$C$10))</x:f>
        <x:v>0.004342255457456098</x:v>
      </x:c>
      <x:c r="R29" s="21" t="str">
        <x:f>IF(O29&gt;P29,"compute",IF(P29&gt;O29,"memory","balanced"))&amp;IF('01_Inputs'!$C$5&gt;0,"","")</x:f>
        <x:v>compute</x:v>
      </x:c>
      <x:c r="S29" s="24" t="str">
        <x:v>Explicit prediction term.</x:v>
      </x:c>
    </x:row>
    <x:row r="30">
      <x:c r="A30" s="21" t="n">
        <x:f>ROW()-11+0*('01_Inputs'!$C$5)</x:f>
        <x:v>19</x:v>
      </x:c>
      <x:c r="B30" s="21" t="str">
        <x:v>decode</x:v>
      </x:c>
      <x:c r="C30" s="21" t="str">
        <x:v>titans_update</x:v>
      </x:c>
      <x:c r="D30" s="21" t="str">
        <x:v>M_eta_weight_backward</x:v>
      </x:c>
      <x:c r="E30" s="24" t="str">
        <x:v>2NIH + 4NHO</x:v>
      </x:c>
      <x:c r="F30" s="66" t="n">
        <x:f>(1+0*'01_Inputs'!$C$5)</x:f>
        <x:v>1</x:v>
      </x:c>
      <x:c r="G30" s="69" t="n">
        <x:f>(2*((('01_Inputs'!$C$5)*('01_Inputs'!$C$8)))*('01_Inputs'!$B$50)*('01_Inputs'!$C$50)+4*((('01_Inputs'!$C$5)*('01_Inputs'!$C$8)))*('01_Inputs'!$C$50)*('01_Inputs'!$D$50))</x:f>
        <x:v>4296015872</x:v>
      </x:c>
      <x:c r="H30" s="69" t="n">
        <x:f>(((('01_Inputs'!$C$5)*('01_Inputs'!$C$8)))*(('01_Inputs'!$B$50)+('01_Inputs'!$C$50)+('01_Inputs'!$D$50))*('01_Inputs'!$C$14))</x:f>
        <x:v>524320</x:v>
      </x:c>
      <x:c r="I30" s="69" t="n">
        <x:f>(0*'01_Inputs'!$C$5)</x:f>
        <x:v>0</x:v>
      </x:c>
      <x:c r="J30" s="69" t="n">
        <x:f>(('01_Inputs'!$C$5)*((('01_Inputs'!$B$50)*('01_Inputs'!$C$50)+('01_Inputs'!$C$50)*('01_Inputs'!$D$50)))*('01_Inputs'!$C$36))</x:f>
        <x:v>8590983168</x:v>
      </x:c>
      <x:c r="K30" s="69" t="n">
        <x:f>((1+0*'01_Inputs'!$C$5))*((((('01_Inputs'!$C$5)*('01_Inputs'!$C$8)))*(('01_Inputs'!$B$50)+('01_Inputs'!$C$50)+('01_Inputs'!$D$50))*('01_Inputs'!$C$14)))+0*('01_Inputs'!$C$5)</x:f>
        <x:v>524320</x:v>
      </x:c>
      <x:c r="L30" s="69" t="n">
        <x:f>((1+0*'01_Inputs'!$C$5))*(((0*'01_Inputs'!$C$5))+((('01_Inputs'!$C$5)*((('01_Inputs'!$B$50)*('01_Inputs'!$C$50)+('01_Inputs'!$C$50)*('01_Inputs'!$D$50)))*('01_Inputs'!$C$36))))+0*('01_Inputs'!$C$5)</x:f>
        <x:v>8590983168</x:v>
      </x:c>
      <x:c r="M30" s="69" t="n">
        <x:f>(0*'01_Inputs'!$C$5)</x:f>
        <x:v>0</x:v>
      </x:c>
      <x:c r="N30" s="66" t="n">
        <x:f>IF((((1+0*'01_Inputs'!$C$5))*(((((('01_Inputs'!$C$5)*('01_Inputs'!$C$8)))*(('01_Inputs'!$B$50)+('01_Inputs'!$C$50)+('01_Inputs'!$D$50))*('01_Inputs'!$C$14)))+((0*'01_Inputs'!$C$5))+((('01_Inputs'!$C$5)*((('01_Inputs'!$B$50)*('01_Inputs'!$C$50)+('01_Inputs'!$C$50)*('01_Inputs'!$D$50)))*('01_Inputs'!$C$36)))))=0,"",(((1+0*'01_Inputs'!$C$5))*((2*((('01_Inputs'!$C$5)*('01_Inputs'!$C$8)))*('01_Inputs'!$B$50)*('01_Inputs'!$C$50)+4*((('01_Inputs'!$C$5)*('01_Inputs'!$C$8)))*('01_Inputs'!$C$50)*('01_Inputs'!$D$50))))/((((1+0*'01_Inputs'!$C$5))*(((((('01_Inputs'!$C$5)*('01_Inputs'!$C$8)))*(('01_Inputs'!$B$50)+('01_Inputs'!$C$50)+('01_Inputs'!$D$50))*('01_Inputs'!$C$14)))+((0*'01_Inputs'!$C$5))+((('01_Inputs'!$C$5)*((('01_Inputs'!$B$50)*('01_Inputs'!$C$50)+('01_Inputs'!$C$50)*('01_Inputs'!$D$50)))*('01_Inputs'!$C$36))))))+0*('01_Inputs'!$C$5))</x:f>
        <x:v>0.5000305101287947</x:v>
      </x:c>
      <x:c r="O30" s="66" t="n">
        <x:f>(((1+0*'01_Inputs'!$C$5))*((2*((('01_Inputs'!$C$5)*('01_Inputs'!$C$8)))*('01_Inputs'!$B$50)*('01_Inputs'!$C$50)+4*((('01_Inputs'!$C$5)*('01_Inputs'!$C$8)))*('01_Inputs'!$C$50)*('01_Inputs'!$D$50)))/(('01_Inputs'!$C$31)*('02_HW'!$C$6))*('02_HW'!$C$10))</x:f>
        <x:v>0.0043417255586818025</x:v>
      </x:c>
      <x:c r="P30" s="66" t="n">
        <x:f>(((1+0*'01_Inputs'!$C$5))*(((((('01_Inputs'!$C$5)*('01_Inputs'!$C$8)))*(('01_Inputs'!$B$50)+('01_Inputs'!$C$50)+('01_Inputs'!$D$50))*('01_Inputs'!$C$14)))+((0*'01_Inputs'!$C$5))+((('01_Inputs'!$C$5)*((('01_Inputs'!$B$50)*('01_Inputs'!$C$50)+('01_Inputs'!$C$50)*('01_Inputs'!$D$50)))*('01_Inputs'!$C$36))))/(('01_Inputs'!$C$32)*('02_HW'!$C$7))*('02_HW'!$C$10))</x:f>
        <x:v>2.5646291008955227</x:v>
      </x:c>
      <x:c r="Q30" s="66" t="n">
        <x:f>(MAX((((1+0*'01_Inputs'!$C$5))*((2*((('01_Inputs'!$C$5)*('01_Inputs'!$C$8)))*('01_Inputs'!$B$50)*('01_Inputs'!$C$50)+4*((('01_Inputs'!$C$5)*('01_Inputs'!$C$8)))*('01_Inputs'!$C$50)*('01_Inputs'!$D$50)))/(('01_Inputs'!$C$31)*('02_HW'!$C$6))*('02_HW'!$C$10)),(((1+0*'01_Inputs'!$C$5))*(((((('01_Inputs'!$C$5)*('01_Inputs'!$C$8)))*(('01_Inputs'!$B$50)+('01_Inputs'!$C$50)+('01_Inputs'!$D$50))*('01_Inputs'!$C$14)))+((0*'01_Inputs'!$C$5))+((('01_Inputs'!$C$5)*((('01_Inputs'!$B$50)*('01_Inputs'!$C$50)+('01_Inputs'!$C$50)*('01_Inputs'!$D$50)))*('01_Inputs'!$C$36))))/(('01_Inputs'!$C$32)*('02_HW'!$C$7))*('02_HW'!$C$10)))+((1+0*'01_Inputs'!$C$5))*('02_HW'!$C$9)*('02_HW'!$C$10))</x:f>
        <x:v>2.5646291008955227</x:v>
      </x:c>
      <x:c r="R30" s="21" t="str">
        <x:f>IF(O30&gt;P30,"compute",IF(P30&gt;O30,"memory","balanced"))&amp;IF('01_Inputs'!$C$5&gt;0,"","")</x:f>
        <x:v>memory</x:v>
      </x:c>
      <x:c r="S30" s="24" t="str">
        <x:v>Weight-gradient backward; no input gradient.</x:v>
      </x:c>
    </x:row>
    <x:row r="31">
      <x:c r="A31" s="21" t="n">
        <x:f>ROW()-11+0*('01_Inputs'!$C$5)</x:f>
        <x:v>20</x:v>
      </x:c>
      <x:c r="B31" s="21" t="str">
        <x:v>decode</x:v>
      </x:c>
      <x:c r="C31" s="21" t="str">
        <x:v>titans_update</x:v>
      </x:c>
      <x:c r="D31" s="21" t="str">
        <x:v>M_eta_dgd_extra</x:v>
      </x:c>
      <x:c r="E31" s="24" t="str">
        <x:v>μFfwd − (2Ffwd+Fbwd)</x:v>
      </x:c>
      <x:c r="F31" s="66" t="n">
        <x:f>(1+0*'01_Inputs'!$C$5)</x:f>
        <x:v>1</x:v>
      </x:c>
      <x:c r="G31" s="69" t="n">
        <x:f>(('01_Inputs'!$G$50)*((2*((('01_Inputs'!$C$5)*('01_Inputs'!$C$8)))*((('01_Inputs'!$B$50)*('01_Inputs'!$C$50)+('01_Inputs'!$C$50)*('01_Inputs'!$D$50)))+((('01_Inputs'!$C$5)*('01_Inputs'!$C$8)))*(('01_Inputs'!$C$37)*('01_Inputs'!$C$50)+('01_Inputs'!$C$38)*('01_Inputs'!$D$50))))-(2*((2*((('01_Inputs'!$C$5)*('01_Inputs'!$C$8)))*((('01_Inputs'!$B$50)*('01_Inputs'!$C$50)+('01_Inputs'!$C$50)*('01_Inputs'!$D$50)))+((('01_Inputs'!$C$5)*('01_Inputs'!$C$8)))*(('01_Inputs'!$C$37)*('01_Inputs'!$C$50)+('01_Inputs'!$C$38)*('01_Inputs'!$D$50))))+((2*((('01_Inputs'!$C$5)*('01_Inputs'!$C$8)))*('01_Inputs'!$B$50)*('01_Inputs'!$C$50)+4*((('01_Inputs'!$C$5)*('01_Inputs'!$C$8)))*('01_Inputs'!$C$50)*('01_Inputs'!$D$50)))))</x:f>
        <x:v>4297064512</x:v>
      </x:c>
      <x:c r="H31" s="69" t="n">
        <x:f>(('01_Inputs'!$C$5)*((('01_Inputs'!$B$50)*('01_Inputs'!$C$50)+('01_Inputs'!$C$50)*('01_Inputs'!$D$50)))*('01_Inputs'!$C$36))</x:f>
        <x:v>8590983168</x:v>
      </x:c>
      <x:c r="I31" s="69" t="n">
        <x:f>(0*'01_Inputs'!$C$5)</x:f>
        <x:v>0</x:v>
      </x:c>
      <x:c r="J31" s="69" t="n">
        <x:f>(('01_Inputs'!$C$5)*((('01_Inputs'!$B$50)*('01_Inputs'!$C$50)+('01_Inputs'!$C$50)*('01_Inputs'!$D$50)))*('01_Inputs'!$C$36))</x:f>
        <x:v>8590983168</x:v>
      </x:c>
      <x:c r="K31" s="69" t="n">
        <x:f>((1+0*'01_Inputs'!$C$5))*((('01_Inputs'!$C$5)*((('01_Inputs'!$B$50)*('01_Inputs'!$C$50)+('01_Inputs'!$C$50)*('01_Inputs'!$D$50)))*('01_Inputs'!$C$36)))+0*('01_Inputs'!$C$5)</x:f>
        <x:v>8590983168</x:v>
      </x:c>
      <x:c r="L31" s="69" t="n">
        <x:f>((1+0*'01_Inputs'!$C$5))*(((0*'01_Inputs'!$C$5))+((('01_Inputs'!$C$5)*((('01_Inputs'!$B$50)*('01_Inputs'!$C$50)+('01_Inputs'!$C$50)*('01_Inputs'!$D$50)))*('01_Inputs'!$C$36))))+0*('01_Inputs'!$C$5)</x:f>
        <x:v>8590983168</x:v>
      </x:c>
      <x:c r="M31" s="69" t="n">
        <x:f>(0*'01_Inputs'!$C$5)</x:f>
        <x:v>0</x:v>
      </x:c>
      <x:c r="N31" s="66" t="n">
        <x:f>IF(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)=0,"",(((1+0*'01_Inputs'!$C$5))*((('01_Inputs'!$G$50)*((2*((('01_Inputs'!$C$5)*('01_Inputs'!$C$8)))*((('01_Inputs'!$B$50)*('01_Inputs'!$C$50)+('01_Inputs'!$C$50)*('01_Inputs'!$D$50)))+((('01_Inputs'!$C$5)*('01_Inputs'!$C$8)))*(('01_Inputs'!$C$37)*('01_Inputs'!$C$50)+('01_Inputs'!$C$38)*('01_Inputs'!$D$50))))-(2*((2*((('01_Inputs'!$C$5)*('01_Inputs'!$C$8)))*((('01_Inputs'!$B$50)*('01_Inputs'!$C$50)+('01_Inputs'!$C$50)*('01_Inputs'!$D$50)))+((('01_Inputs'!$C$5)*('01_Inputs'!$C$8)))*(('01_Inputs'!$C$37)*('01_Inputs'!$C$50)+('01_Inputs'!$C$38)*('01_Inputs'!$D$50))))+((2*((('01_Inputs'!$C$5)*('01_Inputs'!$C$8)))*('01_Inputs'!$B$50)*('01_Inputs'!$C$50)+4*((('01_Inputs'!$C$5)*('01_Inputs'!$C$8)))*('01_Inputs'!$C$50)*('01_Inputs'!$D$50)))))))/(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))+0*('01_Inputs'!$C$5))</x:f>
        <x:v>0.2500915452847038</x:v>
      </x:c>
      <x:c r="O31" s="66" t="n">
        <x:f>(((1+0*'01_Inputs'!$C$5))*((('01_Inputs'!$G$50)*((2*((('01_Inputs'!$C$5)*('01_Inputs'!$C$8)))*((('01_Inputs'!$B$50)*('01_Inputs'!$C$50)+('01_Inputs'!$C$50)*('01_Inputs'!$D$50)))+((('01_Inputs'!$C$5)*('01_Inputs'!$C$8)))*(('01_Inputs'!$C$37)*('01_Inputs'!$C$50)+('01_Inputs'!$C$38)*('01_Inputs'!$D$50))))-(2*((2*((('01_Inputs'!$C$5)*('01_Inputs'!$C$8)))*((('01_Inputs'!$B$50)*('01_Inputs'!$C$50)+('01_Inputs'!$C$50)*('01_Inputs'!$D$50)))+((('01_Inputs'!$C$5)*('01_Inputs'!$C$8)))*(('01_Inputs'!$C$37)*('01_Inputs'!$C$50)+('01_Inputs'!$C$38)*('01_Inputs'!$D$50))))+((2*((('01_Inputs'!$C$5)*('01_Inputs'!$C$8)))*('01_Inputs'!$B$50)*('01_Inputs'!$C$50)+4*((('01_Inputs'!$C$5)*('01_Inputs'!$C$8)))*('01_Inputs'!$C$50)*('01_Inputs'!$D$50))))))/(('01_Inputs'!$C$31)*('02_HW'!$C$6))*('02_HW'!$C$10))</x:f>
        <x:v>0.004342785356230394</x:v>
      </x:c>
      <x:c r="P31" s="66" t="n">
        <x:f>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/(('01_Inputs'!$C$32)*('02_HW'!$C$7))*('02_HW'!$C$10))</x:f>
        <x:v>5.128945174925373</x:v>
      </x:c>
      <x:c r="Q31" s="66" t="n">
        <x:f>(MAX((((1+0*'01_Inputs'!$C$5))*((('01_Inputs'!$G$50)*((2*((('01_Inputs'!$C$5)*('01_Inputs'!$C$8)))*((('01_Inputs'!$B$50)*('01_Inputs'!$C$50)+('01_Inputs'!$C$50)*('01_Inputs'!$D$50)))+((('01_Inputs'!$C$5)*('01_Inputs'!$C$8)))*(('01_Inputs'!$C$37)*('01_Inputs'!$C$50)+('01_Inputs'!$C$38)*('01_Inputs'!$D$50))))-(2*((2*((('01_Inputs'!$C$5)*('01_Inputs'!$C$8)))*((('01_Inputs'!$B$50)*('01_Inputs'!$C$50)+('01_Inputs'!$C$50)*('01_Inputs'!$D$50)))+((('01_Inputs'!$C$5)*('01_Inputs'!$C$8)))*(('01_Inputs'!$C$37)*('01_Inputs'!$C$50)+('01_Inputs'!$C$38)*('01_Inputs'!$D$50))))+((2*((('01_Inputs'!$C$5)*('01_Inputs'!$C$8)))*('01_Inputs'!$B$50)*('01_Inputs'!$C$50)+4*((('01_Inputs'!$C$5)*('01_Inputs'!$C$8)))*('01_Inputs'!$C$50)*('01_Inputs'!$D$50))))))/(('01_Inputs'!$C$31)*('02_HW'!$C$6))*('02_HW'!$C$10)),(((1+0*'01_Inputs'!$C$5))*(((('01_Inputs'!$C$5)*((('01_Inputs'!$B$50)*('01_Inputs'!$C$50)+('01_Inputs'!$C$50)*('01_Inputs'!$D$50)))*('01_Inputs'!$C$36)))+((0*'01_Inputs'!$C$5))+((('01_Inputs'!$C$5)*((('01_Inputs'!$B$50)*('01_Inputs'!$C$50)+('01_Inputs'!$C$50)*('01_Inputs'!$D$50)))*('01_Inputs'!$C$36))))/(('01_Inputs'!$C$32)*('02_HW'!$C$7))*('02_HW'!$C$10)))+((1+0*'01_Inputs'!$C$5))*('02_HW'!$C$9)*('02_HW'!$C$10))</x:f>
        <x:v>5.128945174925373</x:v>
      </x:c>
      <x:c r="R31" s="21" t="str">
        <x:f>IF(O31&gt;P31,"compute",IF(P31&gt;O31,"memory","balanced"))&amp;IF('01_Inputs'!$C$5&gt;0,"","")</x:f>
        <x:v>memory</x:v>
      </x:c>
      <x:c r="S31" s="24" t="str">
        <x:v>Residual DGD calibration.</x:v>
      </x:c>
    </x:row>
    <x:row r="32">
      <x:c r="A32" s="21" t="n">
        <x:f>ROW()-11+0*('01_Inputs'!$C$5)</x:f>
        <x:v>21</x:v>
      </x:c>
      <x:c r="B32" s="21" t="str">
        <x:v>decode</x:v>
      </x:c>
      <x:c r="C32" s="21" t="str">
        <x:v>titans_update</x:v>
      </x:c>
      <x:c r="D32" s="21" t="str">
        <x:v>M_eta_state_apply</x:v>
      </x:c>
      <x:c r="E32" s="24" t="str">
        <x:v>B(1+m)Pbs read + write</x:v>
      </x:c>
      <x:c r="F32" s="66" t="n">
        <x:f>(1/('01_Inputs'!$E$50)+0*'01_Inputs'!$C$5)</x:f>
        <x:v>0.00048828125</x:v>
      </x:c>
      <x:c r="G32" s="69" t="n">
        <x:f>(0*'01_Inputs'!$C$5)</x:f>
        <x:v>0</x:v>
      </x:c>
      <x:c r="H32" s="69" t="n">
        <x:f>(('01_Inputs'!$C$5)*(1+('01_Inputs'!$F$50))*((('01_Inputs'!$B$50)*('01_Inputs'!$C$50)+('01_Inputs'!$C$50)*('01_Inputs'!$D$50)))*('01_Inputs'!$C$35))</x:f>
        <x:v>4295491584</x:v>
      </x:c>
      <x:c r="I32" s="69" t="n">
        <x:f>(('01_Inputs'!$C$5)*(1+('01_Inputs'!$F$50))*((('01_Inputs'!$B$50)*('01_Inputs'!$C$50)+('01_Inputs'!$C$50)*('01_Inputs'!$D$50)))*('01_Inputs'!$C$35))</x:f>
        <x:v>4295491584</x:v>
      </x:c>
      <x:c r="J32" s="69" t="n">
        <x:f>(0*'01_Inputs'!$C$5)</x:f>
        <x:v>0</x:v>
      </x:c>
      <x:c r="K32" s="69" t="n">
        <x:f>((1/('01_Inputs'!$E$50)+0*'01_Inputs'!$C$5))*((('01_Inputs'!$C$5)*(1+('01_Inputs'!$F$50))*((('01_Inputs'!$B$50)*('01_Inputs'!$C$50)+('01_Inputs'!$C$50)*('01_Inputs'!$D$50)))*('01_Inputs'!$C$35)))+0*('01_Inputs'!$C$5)</x:f>
        <x:v>2097408</x:v>
      </x:c>
      <x:c r="L32" s="69" t="n">
        <x:f>((1/('01_Inputs'!$E$50)+0*'01_Inputs'!$C$5))*(((('01_Inputs'!$C$5)*(1+('01_Inputs'!$F$50))*((('01_Inputs'!$B$50)*('01_Inputs'!$C$50)+('01_Inputs'!$C$50)*('01_Inputs'!$D$50)))*('01_Inputs'!$C$35)))+((0*'01_Inputs'!$C$5)))+0*('01_Inputs'!$C$5)</x:f>
        <x:v>2097408</x:v>
      </x:c>
      <x:c r="M32" s="69" t="n">
        <x:f>(0*'01_Inputs'!$C$5)</x:f>
        <x:v>0</x:v>
      </x:c>
      <x:c r="N32" s="66" t="n">
        <x:f>IF((((1/('01_Inputs'!$E$50)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)=0,"",(((1/('01_Inputs'!$E$50)+0*'01_Inputs'!$C$5))*((0*'01_Inputs'!$C$5)))/((((1/('01_Inputs'!$E$50)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))+0*('01_Inputs'!$C$5))</x:f>
        <x:v>0</x:v>
      </x:c>
      <x:c r="O32" s="66" t="n">
        <x:f>(((1/('01_Inputs'!$E$50)+0*'01_Inputs'!$C$5))*((0*'01_Inputs'!$C$5))/(('01_Inputs'!$C$31)*('02_HW'!$C$6))*('02_HW'!$C$10))</x:f>
        <x:v>0</x:v>
      </x:c>
      <x:c r="P32" s="66" t="n">
        <x:f>(((1/('01_Inputs'!$E$50)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/(('01_Inputs'!$C$32)*('02_HW'!$C$7))*('02_HW'!$C$10))</x:f>
        <x:v>0.0012521838805970148</x:v>
      </x:c>
      <x:c r="Q32" s="66" t="n">
        <x:f>(MAX((((1/('01_Inputs'!$E$50)+0*'01_Inputs'!$C$5))*((0*'01_Inputs'!$C$5))/(('01_Inputs'!$C$31)*('02_HW'!$C$6))*('02_HW'!$C$10)),(((1/('01_Inputs'!$E$50)+0*'01_Inputs'!$C$5))*(((('01_Inputs'!$C$5)*(1+('01_Inputs'!$F$50))*((('01_Inputs'!$B$50)*('01_Inputs'!$C$50)+('01_Inputs'!$C$50)*('01_Inputs'!$D$50)))*('01_Inputs'!$C$35)))+((('01_Inputs'!$C$5)*(1+('01_Inputs'!$F$50))*((('01_Inputs'!$B$50)*('01_Inputs'!$C$50)+('01_Inputs'!$C$50)*('01_Inputs'!$D$50)))*('01_Inputs'!$C$35)))+((0*'01_Inputs'!$C$5)))/(('01_Inputs'!$C$32)*('02_HW'!$C$7))*('02_HW'!$C$10)))+((1/('01_Inputs'!$E$50)+0*'01_Inputs'!$C$5))*('02_HW'!$C$9)*('02_HW'!$C$10))</x:f>
        <x:v>0.0012521838805970148</x:v>
      </x:c>
      <x:c r="R32" s="21" t="str">
        <x:f>IF(O32&gt;P32,"compute",IF(P32&gt;O32,"memory","balanced"))&amp;IF('01_Inputs'!$C$5&gt;0,"","")</x:f>
        <x:v>memory</x:v>
      </x:c>
      <x:c r="S32" s="24" t="str">
        <x:v>amortized decode state RMW.</x:v>
      </x:c>
    </x:row>
    <x:row r="33">
      <x:c r="A33" s="21" t="n">
        <x:f>ROW()-11+0*('01_Inputs'!$C$5)</x:f>
        <x:v>22</x:v>
      </x:c>
      <x:c r="B33" s="21" t="str">
        <x:v>decode</x:v>
      </x:c>
      <x:c r="C33" s="21" t="str">
        <x:v>titans_update</x:v>
      </x:c>
      <x:c r="D33" s="21" t="str">
        <x:v>M_alpha_target_forward</x:v>
      </x:c>
      <x:c r="E33" s="24" t="str">
        <x:v>Ffwd(N)</x:v>
      </x:c>
      <x:c r="F33" s="66" t="n">
        <x:f>(1+0*'01_Inputs'!$C$5)</x:f>
        <x:v>1</x:v>
      </x:c>
      <x:c r="G33" s="69" t="n">
        <x:f>(2*((('01_Inputs'!$C$5)*('01_Inputs'!$C$8)))*((('01_Inputs'!$B$51)*('01_Inputs'!$C$51)+('01_Inputs'!$C$51)*('01_Inputs'!$D$51)))+((('01_Inputs'!$C$5)*('01_Inputs'!$C$8)))*(('01_Inputs'!$C$37)*('01_Inputs'!$C$51)+('01_Inputs'!$C$38)*('01_Inputs'!$D$51)))</x:f>
        <x:v>4296540192</x:v>
      </x:c>
      <x:c r="H33" s="69" t="n">
        <x:f>(((((('01_Inputs'!$C$5)*('01_Inputs'!$C$8)))*('01_Inputs'!$B$51)*('01_Inputs'!$C$14)))+('01_Inputs'!$C$5)*((('01_Inputs'!$B$51)*('01_Inputs'!$C$51)+('01_Inputs'!$C$51)*('01_Inputs'!$D$51)))*('01_Inputs'!$C$35)*('01_Inputs'!$H$51))</x:f>
        <x:v>2148007936</x:v>
      </x:c>
      <x:c r="I33" s="69" t="n">
        <x:f>(0*'01_Inputs'!$C$5)</x:f>
        <x:v>0</x:v>
      </x:c>
      <x:c r="J33" s="69" t="n">
        <x:f>(((('01_Inputs'!$C$5)*('01_Inputs'!$C$8)))*('01_Inputs'!$D$51)*('01_Inputs'!$C$14))</x:f>
        <x:v>32</x:v>
      </x:c>
      <x:c r="K33" s="69" t="n">
        <x:f>((1+0*'01_Inputs'!$C$5))*((((((('01_Inputs'!$C$5)*('01_Inputs'!$C$8)))*('01_Inputs'!$B$51)*('01_Inputs'!$C$14)))+('01_Inputs'!$C$5)*((('01_Inputs'!$B$51)*('01_Inputs'!$C$51)+('01_Inputs'!$C$51)*('01_Inputs'!$D$51)))*('01_Inputs'!$C$35)*('01_Inputs'!$H$51)))+0*('01_Inputs'!$C$5)</x:f>
        <x:v>2148007936</x:v>
      </x:c>
      <x:c r="L33" s="69" t="n">
        <x:f>((1+0*'01_Inputs'!$C$5))*(((0*'01_Inputs'!$C$5))+((((('01_Inputs'!$C$5)*('01_Inputs'!$C$8)))*('01_Inputs'!$D$51)*('01_Inputs'!$C$14))))+0*('01_Inputs'!$C$5)</x:f>
        <x:v>32</x:v>
      </x:c>
      <x:c r="M33" s="69" t="n">
        <x:f>(0*'01_Inputs'!$C$5)</x:f>
        <x:v>0</x:v>
      </x:c>
      <x:c r="N33" s="66" t="n">
        <x:f>IF(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)=0,"",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)/(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))+0*('01_Inputs'!$C$5))</x:f>
        <x:v>2.0002440661337437</x:v>
      </x:c>
      <x:c r="O33" s="66" t="n">
        <x:f>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/(('01_Inputs'!$C$31)*('02_HW'!$C$6))*('02_HW'!$C$10))</x:f>
        <x:v>0.004342255457456098</x:v>
      </x:c>
      <x:c r="P33" s="66" t="n">
        <x:f>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/(('01_Inputs'!$C$32)*('02_HW'!$C$7))*('02_HW'!$C$10))</x:f>
        <x:v>0.6411964083582089</x:v>
      </x:c>
      <x:c r="Q33" s="66" t="n">
        <x:f>(MAX(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/(('01_Inputs'!$C$31)*('02_HW'!$C$6))*('02_HW'!$C$10)),(((1+0*'01_Inputs'!$C$5))*(((((((('01_Inputs'!$C$5)*('01_Inputs'!$C$8)))*('01_Inputs'!$B$51)*('01_Inputs'!$C$14)))+('01_Inputs'!$C$5)*((('01_Inputs'!$B$51)*('01_Inputs'!$C$51)+('01_Inputs'!$C$51)*('01_Inputs'!$D$51)))*('01_Inputs'!$C$35)*('01_Inputs'!$H$51)))+((0*'01_Inputs'!$C$5))+((((('01_Inputs'!$C$5)*('01_Inputs'!$C$8)))*('01_Inputs'!$D$51)*('01_Inputs'!$C$14))))/(('01_Inputs'!$C$32)*('02_HW'!$C$7))*('02_HW'!$C$10)))+((1+0*'01_Inputs'!$C$5))*('02_HW'!$C$9)*('02_HW'!$C$10))</x:f>
        <x:v>0.6411964083582089</x:v>
      </x:c>
      <x:c r="R33" s="21" t="str">
        <x:f>IF(O33&gt;P33,"compute",IF(P33&gt;O33,"memory","balanced"))&amp;IF('01_Inputs'!$C$5&gt;0,"","")</x:f>
        <x:v>memory</x:v>
      </x:c>
      <x:c r="S33" s="24" t="str">
        <x:v>Explicit self-target term.</x:v>
      </x:c>
    </x:row>
    <x:row r="34">
      <x:c r="A34" s="21" t="n">
        <x:f>ROW()-11+0*('01_Inputs'!$C$5)</x:f>
        <x:v>23</x:v>
      </x:c>
      <x:c r="B34" s="21" t="str">
        <x:v>decode</x:v>
      </x:c>
      <x:c r="C34" s="21" t="str">
        <x:v>titans_update</x:v>
      </x:c>
      <x:c r="D34" s="21" t="str">
        <x:v>M_alpha_prediction_forward</x:v>
      </x:c>
      <x:c r="E34" s="24" t="str">
        <x:v>Ffwd(N)</x:v>
      </x:c>
      <x:c r="F34" s="66" t="n">
        <x:f>(1+0*'01_Inputs'!$C$5)</x:f>
        <x:v>1</x:v>
      </x:c>
      <x:c r="G34" s="69" t="n">
        <x:f>(2*((('01_Inputs'!$C$5)*('01_Inputs'!$C$8)))*((('01_Inputs'!$B$51)*('01_Inputs'!$C$51)+('01_Inputs'!$C$51)*('01_Inputs'!$D$51)))+((('01_Inputs'!$C$5)*('01_Inputs'!$C$8)))*(('01_Inputs'!$C$37)*('01_Inputs'!$C$51)+('01_Inputs'!$C$38)*('01_Inputs'!$D$51)))</x:f>
        <x:v>4296540192</x:v>
      </x:c>
      <x:c r="H34" s="69" t="n">
        <x:f>(((('01_Inputs'!$C$5)*('01_Inputs'!$C$8)))*('01_Inputs'!$B$51)*('01_Inputs'!$C$14))</x:f>
        <x:v>262144</x:v>
      </x:c>
      <x:c r="I34" s="69" t="n">
        <x:f>(0*'01_Inputs'!$C$5)</x:f>
        <x:v>0</x:v>
      </x:c>
      <x:c r="J34" s="69" t="n">
        <x:f>(((('01_Inputs'!$C$5)*('01_Inputs'!$C$8)))*('01_Inputs'!$D$51)*('01_Inputs'!$C$14))</x:f>
        <x:v>32</x:v>
      </x:c>
      <x:c r="K34" s="69" t="n">
        <x:f>((1+0*'01_Inputs'!$C$5))*((((('01_Inputs'!$C$5)*('01_Inputs'!$C$8)))*('01_Inputs'!$B$51)*('01_Inputs'!$C$14)))+0*('01_Inputs'!$C$5)</x:f>
        <x:v>262144</x:v>
      </x:c>
      <x:c r="L34" s="69" t="n">
        <x:f>((1+0*'01_Inputs'!$C$5))*(((0*'01_Inputs'!$C$5))+((((('01_Inputs'!$C$5)*('01_Inputs'!$C$8)))*('01_Inputs'!$D$51)*('01_Inputs'!$C$14))))+0*('01_Inputs'!$C$5)</x:f>
        <x:v>32</x:v>
      </x:c>
      <x:c r="M34" s="69" t="n">
        <x:f>(0*'01_Inputs'!$C$5)</x:f>
        <x:v>0</x:v>
      </x:c>
      <x:c r="N34" s="66" t="n">
        <x:f>IF((((1+0*'01_Inputs'!$C$5))*(((((('01_Inputs'!$C$5)*('01_Inputs'!$C$8)))*('01_Inputs'!$B$51)*('01_Inputs'!$C$14)))+((0*'01_Inputs'!$C$5))+((((('01_Inputs'!$C$5)*('01_Inputs'!$C$8)))*('01_Inputs'!$D$51)*('01_Inputs'!$C$14)))))=0,"",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)/((((1+0*'01_Inputs'!$C$5))*(((((('01_Inputs'!$C$5)*('01_Inputs'!$C$8)))*('01_Inputs'!$B$51)*('01_Inputs'!$C$14)))+((0*'01_Inputs'!$C$5))+((((('01_Inputs'!$C$5)*('01_Inputs'!$C$8)))*('01_Inputs'!$D$51)*('01_Inputs'!$C$14))))))+0*('01_Inputs'!$C$5))</x:f>
        <x:v>16387.999633833762</x:v>
      </x:c>
      <x:c r="O34" s="66" t="n">
        <x:f>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/(('01_Inputs'!$C$31)*('02_HW'!$C$6))*('02_HW'!$C$10))</x:f>
        <x:v>0.004342255457456098</x:v>
      </x:c>
      <x:c r="P34" s="66" t="n">
        <x:f>(((1+0*'01_Inputs'!$C$5))*(((((('01_Inputs'!$C$5)*('01_Inputs'!$C$8)))*('01_Inputs'!$B$51)*('01_Inputs'!$C$14)))+((0*'01_Inputs'!$C$5))+((((('01_Inputs'!$C$5)*('01_Inputs'!$C$8)))*('01_Inputs'!$D$51)*('01_Inputs'!$C$14))))/(('01_Inputs'!$C$32)*('02_HW'!$C$7))*('02_HW'!$C$10))</x:f>
        <x:v>0.00007826149253731343</x:v>
      </x:c>
      <x:c r="Q34" s="66" t="n">
        <x:f>(MAX((((1+0*'01_Inputs'!$C$5))*((2*((('01_Inputs'!$C$5)*('01_Inputs'!$C$8)))*((('01_Inputs'!$B$51)*('01_Inputs'!$C$51)+('01_Inputs'!$C$51)*('01_Inputs'!$D$51)))+((('01_Inputs'!$C$5)*('01_Inputs'!$C$8)))*(('01_Inputs'!$C$37)*('01_Inputs'!$C$51)+('01_Inputs'!$C$38)*('01_Inputs'!$D$51))))/(('01_Inputs'!$C$31)*('02_HW'!$C$6))*('02_HW'!$C$10)),(((1+0*'01_Inputs'!$C$5))*(((((('01_Inputs'!$C$5)*('01_Inputs'!$C$8)))*('01_Inputs'!$B$51)*('01_Inputs'!$C$14)))+((0*'01_Inputs'!$C$5))+((((('01_Inputs'!$C$5)*('01_Inputs'!$C$8)))*('01_Inputs'!$D$51)*('01_Inputs'!$C$14))))/(('01_Inputs'!$C$32)*('02_HW'!$C$7))*('02_HW'!$C$10)))+((1+0*'01_Inputs'!$C$5))*('02_HW'!$C$9)*('02_HW'!$C$10))</x:f>
        <x:v>0.004342255457456098</x:v>
      </x:c>
      <x:c r="R34" s="21" t="str">
        <x:f>IF(O34&gt;P34,"compute",IF(P34&gt;O34,"memory","balanced"))&amp;IF('01_Inputs'!$C$5&gt;0,"","")</x:f>
        <x:v>compute</x:v>
      </x:c>
      <x:c r="S34" s="24" t="str">
        <x:v>Explicit prediction term.</x:v>
      </x:c>
    </x:row>
    <x:row r="35">
      <x:c r="A35" s="21" t="n">
        <x:f>ROW()-11+0*('01_Inputs'!$C$5)</x:f>
        <x:v>24</x:v>
      </x:c>
      <x:c r="B35" s="21" t="str">
        <x:v>decode</x:v>
      </x:c>
      <x:c r="C35" s="21" t="str">
        <x:v>titans_update</x:v>
      </x:c>
      <x:c r="D35" s="21" t="str">
        <x:v>M_alpha_weight_backward</x:v>
      </x:c>
      <x:c r="E35" s="24" t="str">
        <x:v>2NIH + 4NHO</x:v>
      </x:c>
      <x:c r="F35" s="66" t="n">
        <x:f>(1+0*'01_Inputs'!$C$5)</x:f>
        <x:v>1</x:v>
      </x:c>
      <x:c r="G35" s="69" t="n">
        <x:f>(2*((('01_Inputs'!$C$5)*('01_Inputs'!$C$8)))*('01_Inputs'!$B$51)*('01_Inputs'!$C$51)+4*((('01_Inputs'!$C$5)*('01_Inputs'!$C$8)))*('01_Inputs'!$C$51)*('01_Inputs'!$D$51))</x:f>
        <x:v>4296015872</x:v>
      </x:c>
      <x:c r="H35" s="69" t="n">
        <x:f>(((('01_Inputs'!$C$5)*('01_Inputs'!$C$8)))*(('01_Inputs'!$B$51)+('01_Inputs'!$C$51)+('01_Inputs'!$D$51))*('01_Inputs'!$C$14))</x:f>
        <x:v>524320</x:v>
      </x:c>
      <x:c r="I35" s="69" t="n">
        <x:f>(0*'01_Inputs'!$C$5)</x:f>
        <x:v>0</x:v>
      </x:c>
      <x:c r="J35" s="69" t="n">
        <x:f>(('01_Inputs'!$C$5)*((('01_Inputs'!$B$51)*('01_Inputs'!$C$51)+('01_Inputs'!$C$51)*('01_Inputs'!$D$51)))*('01_Inputs'!$C$36))</x:f>
        <x:v>8590983168</x:v>
      </x:c>
      <x:c r="K35" s="69" t="n">
        <x:f>((1+0*'01_Inputs'!$C$5))*((((('01_Inputs'!$C$5)*('01_Inputs'!$C$8)))*(('01_Inputs'!$B$51)+('01_Inputs'!$C$51)+('01_Inputs'!$D$51))*('01_Inputs'!$C$14)))+0*('01_Inputs'!$C$5)</x:f>
        <x:v>524320</x:v>
      </x:c>
      <x:c r="L35" s="69" t="n">
        <x:f>((1+0*'01_Inputs'!$C$5))*(((0*'01_Inputs'!$C$5))+((('01_Inputs'!$C$5)*((('01_Inputs'!$B$51)*('01_Inputs'!$C$51)+('01_Inputs'!$C$51)*('01_Inputs'!$D$51)))*('01_Inputs'!$C$36))))+0*('01_Inputs'!$C$5)</x:f>
        <x:v>8590983168</x:v>
      </x:c>
      <x:c r="M35" s="69" t="n">
        <x:f>(0*'01_Inputs'!$C$5)</x:f>
        <x:v>0</x:v>
      </x:c>
      <x:c r="N35" s="66" t="n">
        <x:f>IF((((1+0*'01_Inputs'!$C$5))*(((((('01_Inputs'!$C$5)*('01_Inputs'!$C$8)))*(('01_Inputs'!$B$51)+('01_Inputs'!$C$51)+('01_Inputs'!$D$51))*('01_Inputs'!$C$14)))+((0*'01_Inputs'!$C$5))+((('01_Inputs'!$C$5)*((('01_Inputs'!$B$51)*('01_Inputs'!$C$51)+('01_Inputs'!$C$51)*('01_Inputs'!$D$51)))*('01_Inputs'!$C$36)))))=0,"",(((1+0*'01_Inputs'!$C$5))*((2*((('01_Inputs'!$C$5)*('01_Inputs'!$C$8)))*('01_Inputs'!$B$51)*('01_Inputs'!$C$51)+4*((('01_Inputs'!$C$5)*('01_Inputs'!$C$8)))*('01_Inputs'!$C$51)*('01_Inputs'!$D$51))))/((((1+0*'01_Inputs'!$C$5))*(((((('01_Inputs'!$C$5)*('01_Inputs'!$C$8)))*(('01_Inputs'!$B$51)+('01_Inputs'!$C$51)+('01_Inputs'!$D$51))*('01_Inputs'!$C$14)))+((0*'01_Inputs'!$C$5))+((('01_Inputs'!$C$5)*((('01_Inputs'!$B$51)*('01_Inputs'!$C$51)+('01_Inputs'!$C$51)*('01_Inputs'!$D$51)))*('01_Inputs'!$C$36))))))+0*('01_Inputs'!$C$5))</x:f>
        <x:v>0.5000305101287947</x:v>
      </x:c>
      <x:c r="O35" s="66" t="n">
        <x:f>(((1+0*'01_Inputs'!$C$5))*((2*((('01_Inputs'!$C$5)*('01_Inputs'!$C$8)))*('01_Inputs'!$B$51)*('01_Inputs'!$C$51)+4*((('01_Inputs'!$C$5)*('01_Inputs'!$C$8)))*('01_Inputs'!$C$51)*('01_Inputs'!$D$51)))/(('01_Inputs'!$C$31)*('02_HW'!$C$6))*('02_HW'!$C$10))</x:f>
        <x:v>0.0043417255586818025</x:v>
      </x:c>
      <x:c r="P35" s="66" t="n">
        <x:f>(((1+0*'01_Inputs'!$C$5))*(((((('01_Inputs'!$C$5)*('01_Inputs'!$C$8)))*(('01_Inputs'!$B$51)+('01_Inputs'!$C$51)+('01_Inputs'!$D$51))*('01_Inputs'!$C$14)))+((0*'01_Inputs'!$C$5))+((('01_Inputs'!$C$5)*((('01_Inputs'!$B$51)*('01_Inputs'!$C$51)+('01_Inputs'!$C$51)*('01_Inputs'!$D$51)))*('01_Inputs'!$C$36))))/(('01_Inputs'!$C$32)*('02_HW'!$C$7))*('02_HW'!$C$10))</x:f>
        <x:v>2.5646291008955227</x:v>
      </x:c>
      <x:c r="Q35" s="66" t="n">
        <x:f>(MAX((((1+0*'01_Inputs'!$C$5))*((2*((('01_Inputs'!$C$5)*('01_Inputs'!$C$8)))*('01_Inputs'!$B$51)*('01_Inputs'!$C$51)+4*((('01_Inputs'!$C$5)*('01_Inputs'!$C$8)))*('01_Inputs'!$C$51)*('01_Inputs'!$D$51)))/(('01_Inputs'!$C$31)*('02_HW'!$C$6))*('02_HW'!$C$10)),(((1+0*'01_Inputs'!$C$5))*(((((('01_Inputs'!$C$5)*('01_Inputs'!$C$8)))*(('01_Inputs'!$B$51)+('01_Inputs'!$C$51)+('01_Inputs'!$D$51))*('01_Inputs'!$C$14)))+((0*'01_Inputs'!$C$5))+((('01_Inputs'!$C$5)*((('01_Inputs'!$B$51)*('01_Inputs'!$C$51)+('01_Inputs'!$C$51)*('01_Inputs'!$D$51)))*('01_Inputs'!$C$36))))/(('01_Inputs'!$C$32)*('02_HW'!$C$7))*('02_HW'!$C$10)))+((1+0*'01_Inputs'!$C$5))*('02_HW'!$C$9)*('02_HW'!$C$10))</x:f>
        <x:v>2.5646291008955227</x:v>
      </x:c>
      <x:c r="R35" s="21" t="str">
        <x:f>IF(O35&gt;P35,"compute",IF(P35&gt;O35,"memory","balanced"))&amp;IF('01_Inputs'!$C$5&gt;0,"","")</x:f>
        <x:v>memory</x:v>
      </x:c>
      <x:c r="S35" s="24" t="str">
        <x:v>Weight-gradient backward; no input gradient.</x:v>
      </x:c>
    </x:row>
    <x:row r="36">
      <x:c r="A36" s="21" t="n">
        <x:f>ROW()-11+0*('01_Inputs'!$C$5)</x:f>
        <x:v>25</x:v>
      </x:c>
      <x:c r="B36" s="21" t="str">
        <x:v>decode</x:v>
      </x:c>
      <x:c r="C36" s="21" t="str">
        <x:v>titans_update</x:v>
      </x:c>
      <x:c r="D36" s="21" t="str">
        <x:v>M_alpha_dgd_extra</x:v>
      </x:c>
      <x:c r="E36" s="24" t="str">
        <x:v>μFfwd − (2Ffwd+Fbwd)</x:v>
      </x:c>
      <x:c r="F36" s="66" t="n">
        <x:f>(1+0*'01_Inputs'!$C$5)</x:f>
        <x:v>1</x:v>
      </x:c>
      <x:c r="G36" s="69" t="n">
        <x:f>(('01_Inputs'!$G$51)*((2*((('01_Inputs'!$C$5)*('01_Inputs'!$C$8)))*((('01_Inputs'!$B$51)*('01_Inputs'!$C$51)+('01_Inputs'!$C$51)*('01_Inputs'!$D$51)))+((('01_Inputs'!$C$5)*('01_Inputs'!$C$8)))*(('01_Inputs'!$C$37)*('01_Inputs'!$C$51)+('01_Inputs'!$C$38)*('01_Inputs'!$D$51))))-(2*((2*((('01_Inputs'!$C$5)*('01_Inputs'!$C$8)))*((('01_Inputs'!$B$51)*('01_Inputs'!$C$51)+('01_Inputs'!$C$51)*('01_Inputs'!$D$51)))+((('01_Inputs'!$C$5)*('01_Inputs'!$C$8)))*(('01_Inputs'!$C$37)*('01_Inputs'!$C$51)+('01_Inputs'!$C$38)*('01_Inputs'!$D$51))))+((2*((('01_Inputs'!$C$5)*('01_Inputs'!$C$8)))*('01_Inputs'!$B$51)*('01_Inputs'!$C$51)+4*((('01_Inputs'!$C$5)*('01_Inputs'!$C$8)))*('01_Inputs'!$C$51)*('01_Inputs'!$D$51)))))</x:f>
        <x:v>4297064512</x:v>
      </x:c>
      <x:c r="H36" s="69" t="n">
        <x:f>(('01_Inputs'!$C$5)*((('01_Inputs'!$B$51)*('01_Inputs'!$C$51)+('01_Inputs'!$C$51)*('01_Inputs'!$D$51)))*('01_Inputs'!$C$36))</x:f>
        <x:v>8590983168</x:v>
      </x:c>
      <x:c r="I36" s="69" t="n">
        <x:f>(0*'01_Inputs'!$C$5)</x:f>
        <x:v>0</x:v>
      </x:c>
      <x:c r="J36" s="69" t="n">
        <x:f>(('01_Inputs'!$C$5)*((('01_Inputs'!$B$51)*('01_Inputs'!$C$51)+('01_Inputs'!$C$51)*('01_Inputs'!$D$51)))*('01_Inputs'!$C$36))</x:f>
        <x:v>8590983168</x:v>
      </x:c>
      <x:c r="K36" s="69" t="n">
        <x:f>((1+0*'01_Inputs'!$C$5))*((('01_Inputs'!$C$5)*((('01_Inputs'!$B$51)*('01_Inputs'!$C$51)+('01_Inputs'!$C$51)*('01_Inputs'!$D$51)))*('01_Inputs'!$C$36)))+0*('01_Inputs'!$C$5)</x:f>
        <x:v>8590983168</x:v>
      </x:c>
      <x:c r="L36" s="69" t="n">
        <x:f>((1+0*'01_Inputs'!$C$5))*(((0*'01_Inputs'!$C$5))+((('01_Inputs'!$C$5)*((('01_Inputs'!$B$51)*('01_Inputs'!$C$51)+('01_Inputs'!$C$51)*('01_Inputs'!$D$51)))*('01_Inputs'!$C$36))))+0*('01_Inputs'!$C$5)</x:f>
        <x:v>8590983168</x:v>
      </x:c>
      <x:c r="M36" s="69" t="n">
        <x:f>(0*'01_Inputs'!$C$5)</x:f>
        <x:v>0</x:v>
      </x:c>
      <x:c r="N36" s="66" t="n">
        <x:f>IF(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)=0,"",(((1+0*'01_Inputs'!$C$5))*((('01_Inputs'!$G$51)*((2*((('01_Inputs'!$C$5)*('01_Inputs'!$C$8)))*((('01_Inputs'!$B$51)*('01_Inputs'!$C$51)+('01_Inputs'!$C$51)*('01_Inputs'!$D$51)))+((('01_Inputs'!$C$5)*('01_Inputs'!$C$8)))*(('01_Inputs'!$C$37)*('01_Inputs'!$C$51)+('01_Inputs'!$C$38)*('01_Inputs'!$D$51))))-(2*((2*((('01_Inputs'!$C$5)*('01_Inputs'!$C$8)))*((('01_Inputs'!$B$51)*('01_Inputs'!$C$51)+('01_Inputs'!$C$51)*('01_Inputs'!$D$51)))+((('01_Inputs'!$C$5)*('01_Inputs'!$C$8)))*(('01_Inputs'!$C$37)*('01_Inputs'!$C$51)+('01_Inputs'!$C$38)*('01_Inputs'!$D$51))))+((2*((('01_Inputs'!$C$5)*('01_Inputs'!$C$8)))*('01_Inputs'!$B$51)*('01_Inputs'!$C$51)+4*((('01_Inputs'!$C$5)*('01_Inputs'!$C$8)))*('01_Inputs'!$C$51)*('01_Inputs'!$D$51)))))))/(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))+0*('01_Inputs'!$C$5))</x:f>
        <x:v>0.2500915452847038</x:v>
      </x:c>
      <x:c r="O36" s="66" t="n">
        <x:f>(((1+0*'01_Inputs'!$C$5))*((('01_Inputs'!$G$51)*((2*((('01_Inputs'!$C$5)*('01_Inputs'!$C$8)))*((('01_Inputs'!$B$51)*('01_Inputs'!$C$51)+('01_Inputs'!$C$51)*('01_Inputs'!$D$51)))+((('01_Inputs'!$C$5)*('01_Inputs'!$C$8)))*(('01_Inputs'!$C$37)*('01_Inputs'!$C$51)+('01_Inputs'!$C$38)*('01_Inputs'!$D$51))))-(2*((2*((('01_Inputs'!$C$5)*('01_Inputs'!$C$8)))*((('01_Inputs'!$B$51)*('01_Inputs'!$C$51)+('01_Inputs'!$C$51)*('01_Inputs'!$D$51)))+((('01_Inputs'!$C$5)*('01_Inputs'!$C$8)))*(('01_Inputs'!$C$37)*('01_Inputs'!$C$51)+('01_Inputs'!$C$38)*('01_Inputs'!$D$51))))+((2*((('01_Inputs'!$C$5)*('01_Inputs'!$C$8)))*('01_Inputs'!$B$51)*('01_Inputs'!$C$51)+4*((('01_Inputs'!$C$5)*('01_Inputs'!$C$8)))*('01_Inputs'!$C$51)*('01_Inputs'!$D$51))))))/(('01_Inputs'!$C$31)*('02_HW'!$C$6))*('02_HW'!$C$10))</x:f>
        <x:v>0.004342785356230394</x:v>
      </x:c>
      <x:c r="P36" s="66" t="n">
        <x:f>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/(('01_Inputs'!$C$32)*('02_HW'!$C$7))*('02_HW'!$C$10))</x:f>
        <x:v>5.128945174925373</x:v>
      </x:c>
      <x:c r="Q36" s="66" t="n">
        <x:f>(MAX((((1+0*'01_Inputs'!$C$5))*((('01_Inputs'!$G$51)*((2*((('01_Inputs'!$C$5)*('01_Inputs'!$C$8)))*((('01_Inputs'!$B$51)*('01_Inputs'!$C$51)+('01_Inputs'!$C$51)*('01_Inputs'!$D$51)))+((('01_Inputs'!$C$5)*('01_Inputs'!$C$8)))*(('01_Inputs'!$C$37)*('01_Inputs'!$C$51)+('01_Inputs'!$C$38)*('01_Inputs'!$D$51))))-(2*((2*((('01_Inputs'!$C$5)*('01_Inputs'!$C$8)))*((('01_Inputs'!$B$51)*('01_Inputs'!$C$51)+('01_Inputs'!$C$51)*('01_Inputs'!$D$51)))+((('01_Inputs'!$C$5)*('01_Inputs'!$C$8)))*(('01_Inputs'!$C$37)*('01_Inputs'!$C$51)+('01_Inputs'!$C$38)*('01_Inputs'!$D$51))))+((2*((('01_Inputs'!$C$5)*('01_Inputs'!$C$8)))*('01_Inputs'!$B$51)*('01_Inputs'!$C$51)+4*((('01_Inputs'!$C$5)*('01_Inputs'!$C$8)))*('01_Inputs'!$C$51)*('01_Inputs'!$D$51))))))/(('01_Inputs'!$C$31)*('02_HW'!$C$6))*('02_HW'!$C$10)),(((1+0*'01_Inputs'!$C$5))*(((('01_Inputs'!$C$5)*((('01_Inputs'!$B$51)*('01_Inputs'!$C$51)+('01_Inputs'!$C$51)*('01_Inputs'!$D$51)))*('01_Inputs'!$C$36)))+((0*'01_Inputs'!$C$5))+((('01_Inputs'!$C$5)*((('01_Inputs'!$B$51)*('01_Inputs'!$C$51)+('01_Inputs'!$C$51)*('01_Inputs'!$D$51)))*('01_Inputs'!$C$36))))/(('01_Inputs'!$C$32)*('02_HW'!$C$7))*('02_HW'!$C$10)))+((1+0*'01_Inputs'!$C$5))*('02_HW'!$C$9)*('02_HW'!$C$10))</x:f>
        <x:v>5.128945174925373</x:v>
      </x:c>
      <x:c r="R36" s="21" t="str">
        <x:f>IF(O36&gt;P36,"compute",IF(P36&gt;O36,"memory","balanced"))&amp;IF('01_Inputs'!$C$5&gt;0,"","")</x:f>
        <x:v>memory</x:v>
      </x:c>
      <x:c r="S36" s="24" t="str">
        <x:v>Residual DGD calibration.</x:v>
      </x:c>
    </x:row>
    <x:row r="37">
      <x:c r="A37" s="21" t="n">
        <x:f>ROW()-11+0*('01_Inputs'!$C$5)</x:f>
        <x:v>26</x:v>
      </x:c>
      <x:c r="B37" s="21" t="str">
        <x:v>decode</x:v>
      </x:c>
      <x:c r="C37" s="21" t="str">
        <x:v>titans_update</x:v>
      </x:c>
      <x:c r="D37" s="21" t="str">
        <x:v>M_alpha_state_apply</x:v>
      </x:c>
      <x:c r="E37" s="24" t="str">
        <x:v>B(1+m)Pbs read + write</x:v>
      </x:c>
      <x:c r="F37" s="66" t="n">
        <x:f>(1/('01_Inputs'!$E$51)+0*'01_Inputs'!$C$5)</x:f>
        <x:v>0.00048828125</x:v>
      </x:c>
      <x:c r="G37" s="69" t="n">
        <x:f>(0*'01_Inputs'!$C$5)</x:f>
        <x:v>0</x:v>
      </x:c>
      <x:c r="H37" s="69" t="n">
        <x:f>(('01_Inputs'!$C$5)*(1+('01_Inputs'!$F$51))*((('01_Inputs'!$B$51)*('01_Inputs'!$C$51)+('01_Inputs'!$C$51)*('01_Inputs'!$D$51)))*('01_Inputs'!$C$35))</x:f>
        <x:v>4295491584</x:v>
      </x:c>
      <x:c r="I37" s="69" t="n">
        <x:f>(('01_Inputs'!$C$5)*(1+('01_Inputs'!$F$51))*((('01_Inputs'!$B$51)*('01_Inputs'!$C$51)+('01_Inputs'!$C$51)*('01_Inputs'!$D$51)))*('01_Inputs'!$C$35))</x:f>
        <x:v>4295491584</x:v>
      </x:c>
      <x:c r="J37" s="69" t="n">
        <x:f>(0*'01_Inputs'!$C$5)</x:f>
        <x:v>0</x:v>
      </x:c>
      <x:c r="K37" s="69" t="n">
        <x:f>((1/('01_Inputs'!$E$51)+0*'01_Inputs'!$C$5))*((('01_Inputs'!$C$5)*(1+('01_Inputs'!$F$51))*((('01_Inputs'!$B$51)*('01_Inputs'!$C$51)+('01_Inputs'!$C$51)*('01_Inputs'!$D$51)))*('01_Inputs'!$C$35)))+0*('01_Inputs'!$C$5)</x:f>
        <x:v>2097408</x:v>
      </x:c>
      <x:c r="L37" s="69" t="n">
        <x:f>((1/('01_Inputs'!$E$51)+0*'01_Inputs'!$C$5))*(((('01_Inputs'!$C$5)*(1+('01_Inputs'!$F$51))*((('01_Inputs'!$B$51)*('01_Inputs'!$C$51)+('01_Inputs'!$C$51)*('01_Inputs'!$D$51)))*('01_Inputs'!$C$35)))+((0*'01_Inputs'!$C$5)))+0*('01_Inputs'!$C$5)</x:f>
        <x:v>2097408</x:v>
      </x:c>
      <x:c r="M37" s="69" t="n">
        <x:f>(0*'01_Inputs'!$C$5)</x:f>
        <x:v>0</x:v>
      </x:c>
      <x:c r="N37" s="66" t="n">
        <x:f>IF((((1/('01_Inputs'!$E$51)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)=0,"",(((1/('01_Inputs'!$E$51)+0*'01_Inputs'!$C$5))*((0*'01_Inputs'!$C$5)))/((((1/('01_Inputs'!$E$51)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))+0*('01_Inputs'!$C$5))</x:f>
        <x:v>0</x:v>
      </x:c>
      <x:c r="O37" s="66" t="n">
        <x:f>(((1/('01_Inputs'!$E$51)+0*'01_Inputs'!$C$5))*((0*'01_Inputs'!$C$5))/(('01_Inputs'!$C$31)*('02_HW'!$C$6))*('02_HW'!$C$10))</x:f>
        <x:v>0</x:v>
      </x:c>
      <x:c r="P37" s="66" t="n">
        <x:f>(((1/('01_Inputs'!$E$51)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/(('01_Inputs'!$C$32)*('02_HW'!$C$7))*('02_HW'!$C$10))</x:f>
        <x:v>0.0012521838805970148</x:v>
      </x:c>
      <x:c r="Q37" s="66" t="n">
        <x:f>(MAX((((1/('01_Inputs'!$E$51)+0*'01_Inputs'!$C$5))*((0*'01_Inputs'!$C$5))/(('01_Inputs'!$C$31)*('02_HW'!$C$6))*('02_HW'!$C$10)),(((1/('01_Inputs'!$E$51)+0*'01_Inputs'!$C$5))*(((('01_Inputs'!$C$5)*(1+('01_Inputs'!$F$51))*((('01_Inputs'!$B$51)*('01_Inputs'!$C$51)+('01_Inputs'!$C$51)*('01_Inputs'!$D$51)))*('01_Inputs'!$C$35)))+((('01_Inputs'!$C$5)*(1+('01_Inputs'!$F$51))*((('01_Inputs'!$B$51)*('01_Inputs'!$C$51)+('01_Inputs'!$C$51)*('01_Inputs'!$D$51)))*('01_Inputs'!$C$35)))+((0*'01_Inputs'!$C$5)))/(('01_Inputs'!$C$32)*('02_HW'!$C$7))*('02_HW'!$C$10)))+((1/('01_Inputs'!$E$51)+0*'01_Inputs'!$C$5))*('02_HW'!$C$9)*('02_HW'!$C$10))</x:f>
        <x:v>0.0012521838805970148</x:v>
      </x:c>
      <x:c r="R37" s="21" t="str">
        <x:f>IF(O37&gt;P37,"compute",IF(P37&gt;O37,"memory","balanced"))&amp;IF('01_Inputs'!$C$5&gt;0,"","")</x:f>
        <x:v>memory</x:v>
      </x:c>
      <x:c r="S37" s="24" t="str">
        <x:v>amortized decode state RMW.</x:v>
      </x:c>
    </x:row>
    <x:row r="38">
      <x:c r="A38" s="21" t="n">
        <x:f>ROW()-11+0*('01_Inputs'!$C$5)</x:f>
        <x:v>27</x:v>
      </x:c>
      <x:c r="B38" s="21" t="str">
        <x:v>decode</x:v>
      </x:c>
      <x:c r="C38" s="21" t="str">
        <x:v>titans_update</x:v>
      </x:c>
      <x:c r="D38" s="21" t="str">
        <x:v>M_mem_target_forward</x:v>
      </x:c>
      <x:c r="E38" s="24" t="str">
        <x:v>Ffwd(N)</x:v>
      </x:c>
      <x:c r="F38" s="66" t="n">
        <x:f>(1+0*'01_Inputs'!$C$5)</x:f>
        <x:v>1</x:v>
      </x:c>
      <x:c r="G38" s="69" t="n">
        <x:f>(2*((('01_Inputs'!$C$5)*('01_Inputs'!$C$8)))*((('01_Inputs'!$B$52)*('01_Inputs'!$C$52)+('01_Inputs'!$C$52)*('01_Inputs'!$D$52)))+((('01_Inputs'!$C$5)*('01_Inputs'!$C$8)))*(('01_Inputs'!$C$37)*('01_Inputs'!$C$52)+('01_Inputs'!$C$38)*('01_Inputs'!$D$52)))</x:f>
        <x:v>8591245312</x:v>
      </x:c>
      <x:c r="H38" s="69" t="n">
        <x:f>(((((('01_Inputs'!$C$5)*('01_Inputs'!$C$8)))*('01_Inputs'!$B$52)*('01_Inputs'!$C$14)))+('01_Inputs'!$C$5)*((('01_Inputs'!$B$52)*('01_Inputs'!$C$52)+('01_Inputs'!$C$52)*('01_Inputs'!$D$52)))*('01_Inputs'!$C$35)*('01_Inputs'!$H$52))</x:f>
        <x:v>4295229440</x:v>
      </x:c>
      <x:c r="I38" s="69" t="n">
        <x:f>(0*'01_Inputs'!$C$5)</x:f>
        <x:v>0</x:v>
      </x:c>
      <x:c r="J38" s="69" t="n">
        <x:f>(((('01_Inputs'!$C$5)*('01_Inputs'!$C$8)))*('01_Inputs'!$D$52)*('01_Inputs'!$C$14))</x:f>
        <x:v>262144</x:v>
      </x:c>
      <x:c r="K38" s="69" t="n">
        <x:f>((1+0*'01_Inputs'!$C$5))*((((((('01_Inputs'!$C$5)*('01_Inputs'!$C$8)))*('01_Inputs'!$B$52)*('01_Inputs'!$C$14)))+('01_Inputs'!$C$5)*((('01_Inputs'!$B$52)*('01_Inputs'!$C$52)+('01_Inputs'!$C$52)*('01_Inputs'!$D$52)))*('01_Inputs'!$C$35)*('01_Inputs'!$H$52)))+0*('01_Inputs'!$C$5)</x:f>
        <x:v>4295229440</x:v>
      </x:c>
      <x:c r="L38" s="69" t="n">
        <x:f>((1+0*'01_Inputs'!$C$5))*(((0*'01_Inputs'!$C$5))+((((('01_Inputs'!$C$5)*('01_Inputs'!$C$8)))*('01_Inputs'!$D$52)*('01_Inputs'!$C$14))))+0*('01_Inputs'!$C$5)</x:f>
        <x:v>262144</x:v>
      </x:c>
      <x:c r="M38" s="69" t="n">
        <x:f>(0*'01_Inputs'!$C$5)</x:f>
        <x:v>0</x:v>
      </x:c>
      <x:c r="N38" s="66" t="n">
        <x:f>IF(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)=0,"",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)/(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))+0*('01_Inputs'!$C$5))</x:f>
        <x:v>2.000061027706579</x:v>
      </x:c>
      <x:c r="O38" s="66" t="n">
        <x:f>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/(('01_Inputs'!$C$31)*('02_HW'!$C$6))*('02_HW'!$C$10))</x:f>
        <x:v>0.00868265631771288</x:v>
      </x:c>
      <x:c r="P38" s="66" t="n">
        <x:f>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/(('01_Inputs'!$C$32)*('02_HW'!$C$7))*('02_HW'!$C$10))</x:f>
        <x:v>1.2822362937313432</x:v>
      </x:c>
      <x:c r="Q38" s="66" t="n">
        <x:f>(MAX(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/(('01_Inputs'!$C$31)*('02_HW'!$C$6))*('02_HW'!$C$10)),(((1+0*'01_Inputs'!$C$5))*(((((((('01_Inputs'!$C$5)*('01_Inputs'!$C$8)))*('01_Inputs'!$B$52)*('01_Inputs'!$C$14)))+('01_Inputs'!$C$5)*((('01_Inputs'!$B$52)*('01_Inputs'!$C$52)+('01_Inputs'!$C$52)*('01_Inputs'!$D$52)))*('01_Inputs'!$C$35)*('01_Inputs'!$H$52)))+((0*'01_Inputs'!$C$5))+((((('01_Inputs'!$C$5)*('01_Inputs'!$C$8)))*('01_Inputs'!$D$52)*('01_Inputs'!$C$14))))/(('01_Inputs'!$C$32)*('02_HW'!$C$7))*('02_HW'!$C$10)))+((1+0*'01_Inputs'!$C$5))*('02_HW'!$C$9)*('02_HW'!$C$10))</x:f>
        <x:v>1.2822362937313432</x:v>
      </x:c>
      <x:c r="R38" s="21" t="str">
        <x:f>IF(O38&gt;P38,"compute",IF(P38&gt;O38,"memory","balanced"))&amp;IF('01_Inputs'!$C$5&gt;0,"","")</x:f>
        <x:v>memory</x:v>
      </x:c>
      <x:c r="S38" s="24" t="str">
        <x:v>Explicit self-target term.</x:v>
      </x:c>
    </x:row>
    <x:row r="39">
      <x:c r="A39" s="21" t="n">
        <x:f>ROW()-11+0*('01_Inputs'!$C$5)</x:f>
        <x:v>28</x:v>
      </x:c>
      <x:c r="B39" s="21" t="str">
        <x:v>decode</x:v>
      </x:c>
      <x:c r="C39" s="21" t="str">
        <x:v>titans_update</x:v>
      </x:c>
      <x:c r="D39" s="21" t="str">
        <x:v>M_mem_prediction_forward</x:v>
      </x:c>
      <x:c r="E39" s="24" t="str">
        <x:v>Ffwd(N)</x:v>
      </x:c>
      <x:c r="F39" s="66" t="n">
        <x:f>(1+0*'01_Inputs'!$C$5)</x:f>
        <x:v>1</x:v>
      </x:c>
      <x:c r="G39" s="69" t="n">
        <x:f>(2*((('01_Inputs'!$C$5)*('01_Inputs'!$C$8)))*((('01_Inputs'!$B$52)*('01_Inputs'!$C$52)+('01_Inputs'!$C$52)*('01_Inputs'!$D$52)))+((('01_Inputs'!$C$5)*('01_Inputs'!$C$8)))*(('01_Inputs'!$C$37)*('01_Inputs'!$C$52)+('01_Inputs'!$C$38)*('01_Inputs'!$D$52)))</x:f>
        <x:v>8591245312</x:v>
      </x:c>
      <x:c r="H39" s="69" t="n">
        <x:f>(((('01_Inputs'!$C$5)*('01_Inputs'!$C$8)))*('01_Inputs'!$B$52)*('01_Inputs'!$C$14))</x:f>
        <x:v>262144</x:v>
      </x:c>
      <x:c r="I39" s="69" t="n">
        <x:f>(0*'01_Inputs'!$C$5)</x:f>
        <x:v>0</x:v>
      </x:c>
      <x:c r="J39" s="69" t="n">
        <x:f>(((('01_Inputs'!$C$5)*('01_Inputs'!$C$8)))*('01_Inputs'!$D$52)*('01_Inputs'!$C$14))</x:f>
        <x:v>262144</x:v>
      </x:c>
      <x:c r="K39" s="69" t="n">
        <x:f>((1+0*'01_Inputs'!$C$5))*((((('01_Inputs'!$C$5)*('01_Inputs'!$C$8)))*('01_Inputs'!$B$52)*('01_Inputs'!$C$14)))+0*('01_Inputs'!$C$5)</x:f>
        <x:v>262144</x:v>
      </x:c>
      <x:c r="L39" s="69" t="n">
        <x:f>((1+0*'01_Inputs'!$C$5))*(((0*'01_Inputs'!$C$5))+((((('01_Inputs'!$C$5)*('01_Inputs'!$C$8)))*('01_Inputs'!$D$52)*('01_Inputs'!$C$14))))+0*('01_Inputs'!$C$5)</x:f>
        <x:v>262144</x:v>
      </x:c>
      <x:c r="M39" s="69" t="n">
        <x:f>(0*'01_Inputs'!$C$5)</x:f>
        <x:v>0</x:v>
      </x:c>
      <x:c r="N39" s="66" t="n">
        <x:f>IF((((1+0*'01_Inputs'!$C$5))*(((((('01_Inputs'!$C$5)*('01_Inputs'!$C$8)))*('01_Inputs'!$B$52)*('01_Inputs'!$C$14)))+((0*'01_Inputs'!$C$5))+((((('01_Inputs'!$C$5)*('01_Inputs'!$C$8)))*('01_Inputs'!$D$52)*('01_Inputs'!$C$14)))))=0,"",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)/((((1+0*'01_Inputs'!$C$5))*(((((('01_Inputs'!$C$5)*('01_Inputs'!$C$8)))*('01_Inputs'!$B$52)*('01_Inputs'!$C$14)))+((0*'01_Inputs'!$C$5))+((((('01_Inputs'!$C$5)*('01_Inputs'!$C$8)))*('01_Inputs'!$D$52)*('01_Inputs'!$C$14))))))+0*('01_Inputs'!$C$5))</x:f>
        <x:v>16386.5</x:v>
      </x:c>
      <x:c r="O39" s="66" t="n">
        <x:f>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/(('01_Inputs'!$C$31)*('02_HW'!$C$6))*('02_HW'!$C$10))</x:f>
        <x:v>0.00868265631771288</x:v>
      </x:c>
      <x:c r="P39" s="66" t="n">
        <x:f>(((1+0*'01_Inputs'!$C$5))*(((((('01_Inputs'!$C$5)*('01_Inputs'!$C$8)))*('01_Inputs'!$B$52)*('01_Inputs'!$C$14)))+((0*'01_Inputs'!$C$5))+((((('01_Inputs'!$C$5)*('01_Inputs'!$C$8)))*('01_Inputs'!$D$52)*('01_Inputs'!$C$14))))/(('01_Inputs'!$C$32)*('02_HW'!$C$7))*('02_HW'!$C$10))</x:f>
        <x:v>0.0001565038805970149</x:v>
      </x:c>
      <x:c r="Q39" s="66" t="n">
        <x:f>(MAX((((1+0*'01_Inputs'!$C$5))*((2*((('01_Inputs'!$C$5)*('01_Inputs'!$C$8)))*((('01_Inputs'!$B$52)*('01_Inputs'!$C$52)+('01_Inputs'!$C$52)*('01_Inputs'!$D$52)))+((('01_Inputs'!$C$5)*('01_Inputs'!$C$8)))*(('01_Inputs'!$C$37)*('01_Inputs'!$C$52)+('01_Inputs'!$C$38)*('01_Inputs'!$D$52))))/(('01_Inputs'!$C$31)*('02_HW'!$C$6))*('02_HW'!$C$10)),(((1+0*'01_Inputs'!$C$5))*(((((('01_Inputs'!$C$5)*('01_Inputs'!$C$8)))*('01_Inputs'!$B$52)*('01_Inputs'!$C$14)))+((0*'01_Inputs'!$C$5))+((((('01_Inputs'!$C$5)*('01_Inputs'!$C$8)))*('01_Inputs'!$D$52)*('01_Inputs'!$C$14))))/(('01_Inputs'!$C$32)*('02_HW'!$C$7))*('02_HW'!$C$10)))+((1+0*'01_Inputs'!$C$5))*('02_HW'!$C$9)*('02_HW'!$C$10))</x:f>
        <x:v>0.00868265631771288</x:v>
      </x:c>
      <x:c r="R39" s="21" t="str">
        <x:f>IF(O39&gt;P39,"compute",IF(P39&gt;O39,"memory","balanced"))&amp;IF('01_Inputs'!$C$5&gt;0,"","")</x:f>
        <x:v>compute</x:v>
      </x:c>
      <x:c r="S39" s="24" t="str">
        <x:v>Explicit prediction term.</x:v>
      </x:c>
    </x:row>
    <x:row r="40">
      <x:c r="A40" s="21" t="n">
        <x:f>ROW()-11+0*('01_Inputs'!$C$5)</x:f>
        <x:v>29</x:v>
      </x:c>
      <x:c r="B40" s="21" t="str">
        <x:v>decode</x:v>
      </x:c>
      <x:c r="C40" s="21" t="str">
        <x:v>titans_update</x:v>
      </x:c>
      <x:c r="D40" s="21" t="str">
        <x:v>M_mem_weight_backward</x:v>
      </x:c>
      <x:c r="E40" s="24" t="str">
        <x:v>2NIH + 4NHO</x:v>
      </x:c>
      <x:c r="F40" s="66" t="n">
        <x:f>(1+0*'01_Inputs'!$C$5)</x:f>
        <x:v>1</x:v>
      </x:c>
      <x:c r="G40" s="69" t="n">
        <x:f>(2*((('01_Inputs'!$C$5)*('01_Inputs'!$C$8)))*('01_Inputs'!$B$52)*('01_Inputs'!$C$52)+4*((('01_Inputs'!$C$5)*('01_Inputs'!$C$8)))*('01_Inputs'!$C$52)*('01_Inputs'!$D$52))</x:f>
        <x:v>12884901888</x:v>
      </x:c>
      <x:c r="H40" s="69" t="n">
        <x:f>(((('01_Inputs'!$C$5)*('01_Inputs'!$C$8)))*(('01_Inputs'!$B$52)+('01_Inputs'!$C$52)+('01_Inputs'!$D$52))*('01_Inputs'!$C$14))</x:f>
        <x:v>786432</x:v>
      </x:c>
      <x:c r="I40" s="69" t="n">
        <x:f>(0*'01_Inputs'!$C$5)</x:f>
        <x:v>0</x:v>
      </x:c>
      <x:c r="J40" s="69" t="n">
        <x:f>(('01_Inputs'!$C$5)*((('01_Inputs'!$B$52)*('01_Inputs'!$C$52)+('01_Inputs'!$C$52)*('01_Inputs'!$D$52)))*('01_Inputs'!$C$36))</x:f>
        <x:v>17179869184</x:v>
      </x:c>
      <x:c r="K40" s="69" t="n">
        <x:f>((1+0*'01_Inputs'!$C$5))*((((('01_Inputs'!$C$5)*('01_Inputs'!$C$8)))*(('01_Inputs'!$B$52)+('01_Inputs'!$C$52)+('01_Inputs'!$D$52))*('01_Inputs'!$C$14)))+0*('01_Inputs'!$C$5)</x:f>
        <x:v>786432</x:v>
      </x:c>
      <x:c r="L40" s="69" t="n">
        <x:f>((1+0*'01_Inputs'!$C$5))*(((0*'01_Inputs'!$C$5))+((('01_Inputs'!$C$5)*((('01_Inputs'!$B$52)*('01_Inputs'!$C$52)+('01_Inputs'!$C$52)*('01_Inputs'!$D$52)))*('01_Inputs'!$C$36))))+0*('01_Inputs'!$C$5)</x:f>
        <x:v>17179869184</x:v>
      </x:c>
      <x:c r="M40" s="69" t="n">
        <x:f>(0*'01_Inputs'!$C$5)</x:f>
        <x:v>0</x:v>
      </x:c>
      <x:c r="N40" s="66" t="n">
        <x:f>IF((((1+0*'01_Inputs'!$C$5))*(((((('01_Inputs'!$C$5)*('01_Inputs'!$C$8)))*(('01_Inputs'!$B$52)+('01_Inputs'!$C$52)+('01_Inputs'!$D$52))*('01_Inputs'!$C$14)))+((0*'01_Inputs'!$C$5))+((('01_Inputs'!$C$5)*((('01_Inputs'!$B$52)*('01_Inputs'!$C$52)+('01_Inputs'!$C$52)*('01_Inputs'!$D$52)))*('01_Inputs'!$C$36)))))=0,"",(((1+0*'01_Inputs'!$C$5))*((2*((('01_Inputs'!$C$5)*('01_Inputs'!$C$8)))*('01_Inputs'!$B$52)*('01_Inputs'!$C$52)+4*((('01_Inputs'!$C$5)*('01_Inputs'!$C$8)))*('01_Inputs'!$C$52)*('01_Inputs'!$D$52))))/((((1+0*'01_Inputs'!$C$5))*(((((('01_Inputs'!$C$5)*('01_Inputs'!$C$8)))*(('01_Inputs'!$B$52)+('01_Inputs'!$C$52)+('01_Inputs'!$D$52))*('01_Inputs'!$C$14)))+((0*'01_Inputs'!$C$5))+((('01_Inputs'!$C$5)*((('01_Inputs'!$B$52)*('01_Inputs'!$C$52)+('01_Inputs'!$C$52)*('01_Inputs'!$D$52)))*('01_Inputs'!$C$36))))))+0*('01_Inputs'!$C$5))</x:f>
        <x:v>0.7499656692961443</x:v>
      </x:c>
      <x:c r="O40" s="66" t="n">
        <x:f>(((1+0*'01_Inputs'!$C$5))*((2*((('01_Inputs'!$C$5)*('01_Inputs'!$C$8)))*('01_Inputs'!$B$52)*('01_Inputs'!$C$52)+4*((('01_Inputs'!$C$5)*('01_Inputs'!$C$8)))*('01_Inputs'!$C$52)*('01_Inputs'!$D$52)))/(('01_Inputs'!$C$31)*('02_HW'!$C$6))*('02_HW'!$C$10))</x:f>
        <x:v>0.013021997477442515</x:v>
      </x:c>
      <x:c r="P40" s="66" t="n">
        <x:f>(((1+0*'01_Inputs'!$C$5))*(((((('01_Inputs'!$C$5)*('01_Inputs'!$C$8)))*(('01_Inputs'!$B$52)+('01_Inputs'!$C$52)+('01_Inputs'!$D$52))*('01_Inputs'!$C$14)))+((0*'01_Inputs'!$C$5))+((('01_Inputs'!$C$5)*((('01_Inputs'!$B$52)*('01_Inputs'!$C$52)+('01_Inputs'!$C$52)*('01_Inputs'!$D$52)))*('01_Inputs'!$C$36))))/(('01_Inputs'!$C$32)*('02_HW'!$C$7))*('02_HW'!$C$10))</x:f>
        <x:v>5.12855391522388</x:v>
      </x:c>
      <x:c r="Q40" s="66" t="n">
        <x:f>(MAX((((1+0*'01_Inputs'!$C$5))*((2*((('01_Inputs'!$C$5)*('01_Inputs'!$C$8)))*('01_Inputs'!$B$52)*('01_Inputs'!$C$52)+4*((('01_Inputs'!$C$5)*('01_Inputs'!$C$8)))*('01_Inputs'!$C$52)*('01_Inputs'!$D$52)))/(('01_Inputs'!$C$31)*('02_HW'!$C$6))*('02_HW'!$C$10)),(((1+0*'01_Inputs'!$C$5))*(((((('01_Inputs'!$C$5)*('01_Inputs'!$C$8)))*(('01_Inputs'!$B$52)+('01_Inputs'!$C$52)+('01_Inputs'!$D$52))*('01_Inputs'!$C$14)))+((0*'01_Inputs'!$C$5))+((('01_Inputs'!$C$5)*((('01_Inputs'!$B$52)*('01_Inputs'!$C$52)+('01_Inputs'!$C$52)*('01_Inputs'!$D$52)))*('01_Inputs'!$C$36))))/(('01_Inputs'!$C$32)*('02_HW'!$C$7))*('02_HW'!$C$10)))+((1+0*'01_Inputs'!$C$5))*('02_HW'!$C$9)*('02_HW'!$C$10))</x:f>
        <x:v>5.12855391522388</x:v>
      </x:c>
      <x:c r="R40" s="21" t="str">
        <x:f>IF(O40&gt;P40,"compute",IF(P40&gt;O40,"memory","balanced"))&amp;IF('01_Inputs'!$C$5&gt;0,"","")</x:f>
        <x:v>memory</x:v>
      </x:c>
      <x:c r="S40" s="24" t="str">
        <x:v>Weight-gradient backward; no input gradient.</x:v>
      </x:c>
    </x:row>
    <x:row r="41">
      <x:c r="A41" s="21" t="n">
        <x:f>ROW()-11+0*('01_Inputs'!$C$5)</x:f>
        <x:v>30</x:v>
      </x:c>
      <x:c r="B41" s="21" t="str">
        <x:v>decode</x:v>
      </x:c>
      <x:c r="C41" s="21" t="str">
        <x:v>titans_update</x:v>
      </x:c>
      <x:c r="D41" s="21" t="str">
        <x:v>M_mem_dgd_extra</x:v>
      </x:c>
      <x:c r="E41" s="24" t="str">
        <x:v>μFfwd − (2Ffwd+Fbwd)</x:v>
      </x:c>
      <x:c r="F41" s="66" t="n">
        <x:f>(1+0*'01_Inputs'!$C$5)</x:f>
        <x:v>1</x:v>
      </x:c>
      <x:c r="G41" s="69" t="n">
        <x:f>(('01_Inputs'!$G$52)*((2*((('01_Inputs'!$C$5)*('01_Inputs'!$C$8)))*((('01_Inputs'!$B$52)*('01_Inputs'!$C$52)+('01_Inputs'!$C$52)*('01_Inputs'!$D$52)))+((('01_Inputs'!$C$5)*('01_Inputs'!$C$8)))*(('01_Inputs'!$C$37)*('01_Inputs'!$C$52)+('01_Inputs'!$C$38)*('01_Inputs'!$D$52))))-(2*((2*((('01_Inputs'!$C$5)*('01_Inputs'!$C$8)))*((('01_Inputs'!$B$52)*('01_Inputs'!$C$52)+('01_Inputs'!$C$52)*('01_Inputs'!$D$52)))+((('01_Inputs'!$C$5)*('01_Inputs'!$C$8)))*(('01_Inputs'!$C$37)*('01_Inputs'!$C$52)+('01_Inputs'!$C$38)*('01_Inputs'!$D$52))))+((2*((('01_Inputs'!$C$5)*('01_Inputs'!$C$8)))*('01_Inputs'!$B$52)*('01_Inputs'!$C$52)+4*((('01_Inputs'!$C$5)*('01_Inputs'!$C$8)))*('01_Inputs'!$C$52)*('01_Inputs'!$D$52)))))</x:f>
        <x:v>4297588736</x:v>
      </x:c>
      <x:c r="H41" s="69" t="n">
        <x:f>(('01_Inputs'!$C$5)*((('01_Inputs'!$B$52)*('01_Inputs'!$C$52)+('01_Inputs'!$C$52)*('01_Inputs'!$D$52)))*('01_Inputs'!$C$36))</x:f>
        <x:v>17179869184</x:v>
      </x:c>
      <x:c r="I41" s="69" t="n">
        <x:f>(0*'01_Inputs'!$C$5)</x:f>
        <x:v>0</x:v>
      </x:c>
      <x:c r="J41" s="69" t="n">
        <x:f>(('01_Inputs'!$C$5)*((('01_Inputs'!$B$52)*('01_Inputs'!$C$52)+('01_Inputs'!$C$52)*('01_Inputs'!$D$52)))*('01_Inputs'!$C$36))</x:f>
        <x:v>17179869184</x:v>
      </x:c>
      <x:c r="K41" s="69" t="n">
        <x:f>((1+0*'01_Inputs'!$C$5))*((('01_Inputs'!$C$5)*((('01_Inputs'!$B$52)*('01_Inputs'!$C$52)+('01_Inputs'!$C$52)*('01_Inputs'!$D$52)))*('01_Inputs'!$C$36)))+0*('01_Inputs'!$C$5)</x:f>
        <x:v>17179869184</x:v>
      </x:c>
      <x:c r="L41" s="69" t="n">
        <x:f>((1+0*'01_Inputs'!$C$5))*(((0*'01_Inputs'!$C$5))+((('01_Inputs'!$C$5)*((('01_Inputs'!$B$52)*('01_Inputs'!$C$52)+('01_Inputs'!$C$52)*('01_Inputs'!$D$52)))*('01_Inputs'!$C$36))))+0*('01_Inputs'!$C$5)</x:f>
        <x:v>17179869184</x:v>
      </x:c>
      <x:c r="M41" s="69" t="n">
        <x:f>(0*'01_Inputs'!$C$5)</x:f>
        <x:v>0</x:v>
      </x:c>
      <x:c r="N41" s="66" t="n">
        <x:f>IF(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)=0,"",(((1+0*'01_Inputs'!$C$5))*((('01_Inputs'!$G$52)*((2*((('01_Inputs'!$C$5)*('01_Inputs'!$C$8)))*((('01_Inputs'!$B$52)*('01_Inputs'!$C$52)+('01_Inputs'!$C$52)*('01_Inputs'!$D$52)))+((('01_Inputs'!$C$5)*('01_Inputs'!$C$8)))*(('01_Inputs'!$C$37)*('01_Inputs'!$C$52)+('01_Inputs'!$C$38)*('01_Inputs'!$D$52))))-(2*((2*((('01_Inputs'!$C$5)*('01_Inputs'!$C$8)))*((('01_Inputs'!$B$52)*('01_Inputs'!$C$52)+('01_Inputs'!$C$52)*('01_Inputs'!$D$52)))+((('01_Inputs'!$C$5)*('01_Inputs'!$C$8)))*(('01_Inputs'!$C$37)*('01_Inputs'!$C$52)+('01_Inputs'!$C$38)*('01_Inputs'!$D$52))))+((2*((('01_Inputs'!$C$5)*('01_Inputs'!$C$8)))*('01_Inputs'!$B$52)*('01_Inputs'!$C$52)+4*((('01_Inputs'!$C$5)*('01_Inputs'!$C$8)))*('01_Inputs'!$C$52)*('01_Inputs'!$D$52)))))))/(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))+0*('01_Inputs'!$C$5))</x:f>
        <x:v>0.1250762939453125</x:v>
      </x:c>
      <x:c r="O41" s="66" t="n">
        <x:f>(((1+0*'01_Inputs'!$C$5))*((('01_Inputs'!$G$52)*((2*((('01_Inputs'!$C$5)*('01_Inputs'!$C$8)))*((('01_Inputs'!$B$52)*('01_Inputs'!$C$52)+('01_Inputs'!$C$52)*('01_Inputs'!$D$52)))+((('01_Inputs'!$C$5)*('01_Inputs'!$C$8)))*(('01_Inputs'!$C$37)*('01_Inputs'!$C$52)+('01_Inputs'!$C$38)*('01_Inputs'!$D$52))))-(2*((2*((('01_Inputs'!$C$5)*('01_Inputs'!$C$8)))*((('01_Inputs'!$B$52)*('01_Inputs'!$C$52)+('01_Inputs'!$C$52)*('01_Inputs'!$D$52)))+((('01_Inputs'!$C$5)*('01_Inputs'!$C$8)))*(('01_Inputs'!$C$37)*('01_Inputs'!$C$52)+('01_Inputs'!$C$38)*('01_Inputs'!$D$52))))+((2*((('01_Inputs'!$C$5)*('01_Inputs'!$C$8)))*('01_Inputs'!$B$52)*('01_Inputs'!$C$52)+4*((('01_Inputs'!$C$5)*('01_Inputs'!$C$8)))*('01_Inputs'!$C$52)*('01_Inputs'!$D$52))))))/(('01_Inputs'!$C$31)*('02_HW'!$C$6))*('02_HW'!$C$10))</x:f>
        <x:v>0.0043433151579832475</x:v>
      </x:c>
      <x:c r="P41" s="66" t="n">
        <x:f>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/(('01_Inputs'!$C$32)*('02_HW'!$C$7))*('02_HW'!$C$10))</x:f>
        <x:v>10.256638318805969</x:v>
      </x:c>
      <x:c r="Q41" s="66" t="n">
        <x:f>(MAX((((1+0*'01_Inputs'!$C$5))*((('01_Inputs'!$G$52)*((2*((('01_Inputs'!$C$5)*('01_Inputs'!$C$8)))*((('01_Inputs'!$B$52)*('01_Inputs'!$C$52)+('01_Inputs'!$C$52)*('01_Inputs'!$D$52)))+((('01_Inputs'!$C$5)*('01_Inputs'!$C$8)))*(('01_Inputs'!$C$37)*('01_Inputs'!$C$52)+('01_Inputs'!$C$38)*('01_Inputs'!$D$52))))-(2*((2*((('01_Inputs'!$C$5)*('01_Inputs'!$C$8)))*((('01_Inputs'!$B$52)*('01_Inputs'!$C$52)+('01_Inputs'!$C$52)*('01_Inputs'!$D$52)))+((('01_Inputs'!$C$5)*('01_Inputs'!$C$8)))*(('01_Inputs'!$C$37)*('01_Inputs'!$C$52)+('01_Inputs'!$C$38)*('01_Inputs'!$D$52))))+((2*((('01_Inputs'!$C$5)*('01_Inputs'!$C$8)))*('01_Inputs'!$B$52)*('01_Inputs'!$C$52)+4*((('01_Inputs'!$C$5)*('01_Inputs'!$C$8)))*('01_Inputs'!$C$52)*('01_Inputs'!$D$52))))))/(('01_Inputs'!$C$31)*('02_HW'!$C$6))*('02_HW'!$C$10)),(((1+0*'01_Inputs'!$C$5))*(((('01_Inputs'!$C$5)*((('01_Inputs'!$B$52)*('01_Inputs'!$C$52)+('01_Inputs'!$C$52)*('01_Inputs'!$D$52)))*('01_Inputs'!$C$36)))+((0*'01_Inputs'!$C$5))+((('01_Inputs'!$C$5)*((('01_Inputs'!$B$52)*('01_Inputs'!$C$52)+('01_Inputs'!$C$52)*('01_Inputs'!$D$52)))*('01_Inputs'!$C$36))))/(('01_Inputs'!$C$32)*('02_HW'!$C$7))*('02_HW'!$C$10)))+((1+0*'01_Inputs'!$C$5))*('02_HW'!$C$9)*('02_HW'!$C$10))</x:f>
        <x:v>10.256638318805969</x:v>
      </x:c>
      <x:c r="R41" s="21" t="str">
        <x:f>IF(O41&gt;P41,"compute",IF(P41&gt;O41,"memory","balanced"))&amp;IF('01_Inputs'!$C$5&gt;0,"","")</x:f>
        <x:v>memory</x:v>
      </x:c>
      <x:c r="S41" s="24" t="str">
        <x:v>Residual DGD calibration.</x:v>
      </x:c>
    </x:row>
    <x:row r="42">
      <x:c r="A42" s="21" t="n">
        <x:f>ROW()-11+0*('01_Inputs'!$C$5)</x:f>
        <x:v>31</x:v>
      </x:c>
      <x:c r="B42" s="21" t="str">
        <x:v>decode</x:v>
      </x:c>
      <x:c r="C42" s="21" t="str">
        <x:v>titans_update</x:v>
      </x:c>
      <x:c r="D42" s="21" t="str">
        <x:v>M_mem_state_apply</x:v>
      </x:c>
      <x:c r="E42" s="24" t="str">
        <x:v>B(1+m)Pbs read + write</x:v>
      </x:c>
      <x:c r="F42" s="66" t="n">
        <x:f>(1/('01_Inputs'!$E$52)+0*'01_Inputs'!$C$5)</x:f>
        <x:v>0.00048828125</x:v>
      </x:c>
      <x:c r="G42" s="69" t="n">
        <x:f>(0*'01_Inputs'!$C$5)</x:f>
        <x:v>0</x:v>
      </x:c>
      <x:c r="H42" s="69" t="n">
        <x:f>(('01_Inputs'!$C$5)*(1+('01_Inputs'!$F$52))*((('01_Inputs'!$B$52)*('01_Inputs'!$C$52)+('01_Inputs'!$C$52)*('01_Inputs'!$D$52)))*('01_Inputs'!$C$35))</x:f>
        <x:v>8589934592</x:v>
      </x:c>
      <x:c r="I42" s="69" t="n">
        <x:f>(('01_Inputs'!$C$5)*(1+('01_Inputs'!$F$52))*((('01_Inputs'!$B$52)*('01_Inputs'!$C$52)+('01_Inputs'!$C$52)*('01_Inputs'!$D$52)))*('01_Inputs'!$C$35))</x:f>
        <x:v>8589934592</x:v>
      </x:c>
      <x:c r="J42" s="69" t="n">
        <x:f>(0*'01_Inputs'!$C$5)</x:f>
        <x:v>0</x:v>
      </x:c>
      <x:c r="K42" s="69" t="n">
        <x:f>((1/('01_Inputs'!$E$52)+0*'01_Inputs'!$C$5))*((('01_Inputs'!$C$5)*(1+('01_Inputs'!$F$52))*((('01_Inputs'!$B$52)*('01_Inputs'!$C$52)+('01_Inputs'!$C$52)*('01_Inputs'!$D$52)))*('01_Inputs'!$C$35)))+0*('01_Inputs'!$C$5)</x:f>
        <x:v>4194304</x:v>
      </x:c>
      <x:c r="L42" s="69" t="n">
        <x:f>((1/('01_Inputs'!$E$52)+0*'01_Inputs'!$C$5))*(((('01_Inputs'!$C$5)*(1+('01_Inputs'!$F$52))*((('01_Inputs'!$B$52)*('01_Inputs'!$C$52)+('01_Inputs'!$C$52)*('01_Inputs'!$D$52)))*('01_Inputs'!$C$35)))+((0*'01_Inputs'!$C$5)))+0*('01_Inputs'!$C$5)</x:f>
        <x:v>4194304</x:v>
      </x:c>
      <x:c r="M42" s="69" t="n">
        <x:f>(0*'01_Inputs'!$C$5)</x:f>
        <x:v>0</x:v>
      </x:c>
      <x:c r="N42" s="66" t="n">
        <x:f>IF((((1/('01_Inputs'!$E$52)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)=0,"",(((1/('01_Inputs'!$E$52)+0*'01_Inputs'!$C$5))*((0*'01_Inputs'!$C$5)))/((((1/('01_Inputs'!$E$52)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))+0*('01_Inputs'!$C$5))</x:f>
        <x:v>0</x:v>
      </x:c>
      <x:c r="O42" s="66" t="n">
        <x:f>(((1/('01_Inputs'!$E$52)+0*'01_Inputs'!$C$5))*((0*'01_Inputs'!$C$5))/(('01_Inputs'!$C$31)*('02_HW'!$C$6))*('02_HW'!$C$10))</x:f>
        <x:v>0</x:v>
      </x:c>
      <x:c r="P42" s="66" t="n">
        <x:f>(((1/('01_Inputs'!$E$52)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/(('01_Inputs'!$C$32)*('02_HW'!$C$7))*('02_HW'!$C$10))</x:f>
        <x:v>0.0025040620895522385</x:v>
      </x:c>
      <x:c r="Q42" s="66" t="n">
        <x:f>(MAX((((1/('01_Inputs'!$E$52)+0*'01_Inputs'!$C$5))*((0*'01_Inputs'!$C$5))/(('01_Inputs'!$C$31)*('02_HW'!$C$6))*('02_HW'!$C$10)),(((1/('01_Inputs'!$E$52)+0*'01_Inputs'!$C$5))*(((('01_Inputs'!$C$5)*(1+('01_Inputs'!$F$52))*((('01_Inputs'!$B$52)*('01_Inputs'!$C$52)+('01_Inputs'!$C$52)*('01_Inputs'!$D$52)))*('01_Inputs'!$C$35)))+((('01_Inputs'!$C$5)*(1+('01_Inputs'!$F$52))*((('01_Inputs'!$B$52)*('01_Inputs'!$C$52)+('01_Inputs'!$C$52)*('01_Inputs'!$D$52)))*('01_Inputs'!$C$35)))+((0*'01_Inputs'!$C$5)))/(('01_Inputs'!$C$32)*('02_HW'!$C$7))*('02_HW'!$C$10)))+((1/('01_Inputs'!$E$52)+0*'01_Inputs'!$C$5))*('02_HW'!$C$9)*('02_HW'!$C$10))</x:f>
        <x:v>0.0025040620895522385</x:v>
      </x:c>
      <x:c r="R42" s="21" t="str">
        <x:f>IF(O42&gt;P42,"compute",IF(P42&gt;O42,"memory","balanced"))&amp;IF('01_Inputs'!$C$5&gt;0,"","")</x:f>
        <x:v>memory</x:v>
      </x:c>
      <x:c r="S42" s="24" t="str">
        <x:v>amortized decode state RMW.</x:v>
      </x:c>
    </x:row>
    <x:row r="43">
      <x:c r="A43" s="21" t="n">
        <x:f>ROW()-11+0*('01_Inputs'!$C$5)</x:f>
        <x:v>32</x:v>
      </x:c>
      <x:c r="B43" s="21" t="str">
        <x:v>decode</x:v>
      </x:c>
      <x:c r="C43" s="21" t="str">
        <x:v>cms</x:v>
      </x:c>
      <x:c r="D43" s="21" t="str">
        <x:v>cms_l1_forward</x:v>
      </x:c>
      <x:c r="E43" s="24" t="str">
        <x:v>2NPℓ</x:v>
      </x:c>
      <x:c r="F43" s="66" t="n">
        <x:f>(1+0*'01_Inputs'!$C$5)</x:f>
        <x:v>1</x:v>
      </x:c>
      <x:c r="G43" s="69" t="n">
        <x:f>(2*((('01_Inputs'!$C$5)*('01_Inputs'!$C$8)))*((('01_Inputs'!$B$57)*('01_Inputs'!$C$57)+('01_Inputs'!$C$57)*('01_Inputs'!$D$57))))</x:f>
        <x:v>4294967296</x:v>
      </x:c>
      <x:c r="H43" s="69" t="n">
        <x:f>(((IF(('01_Inputs'!$H$57)=1,('01_Inputs'!$C$5),1)))*((('01_Inputs'!$B$57)*('01_Inputs'!$C$57)+('01_Inputs'!$C$57)*('01_Inputs'!$D$57)))*('01_Inputs'!$C$35)+((('01_Inputs'!$C$5)*('01_Inputs'!$C$8)))*('01_Inputs'!$B$57)*('01_Inputs'!$C$14))</x:f>
        <x:v>2147745792</x:v>
      </x:c>
      <x:c r="I43" s="69" t="n">
        <x:f>(0*'01_Inputs'!$C$5)</x:f>
        <x:v>0</x:v>
      </x:c>
      <x:c r="J43" s="69" t="n">
        <x:f>(((('01_Inputs'!$C$5)*('01_Inputs'!$C$8)))*('01_Inputs'!$D$57)*('01_Inputs'!$C$14))</x:f>
        <x:v>262144</x:v>
      </x:c>
      <x:c r="K43" s="69" t="n">
        <x:f>((1+0*'01_Inputs'!$C$5))*((((IF(('01_Inputs'!$H$57)=1,('01_Inputs'!$C$5),1)))*((('01_Inputs'!$B$57)*('01_Inputs'!$C$57)+('01_Inputs'!$C$57)*('01_Inputs'!$D$57)))*('01_Inputs'!$C$35)+((('01_Inputs'!$C$5)*('01_Inputs'!$C$8)))*('01_Inputs'!$B$57)*('01_Inputs'!$C$14)))+0*('01_Inputs'!$C$5)</x:f>
        <x:v>2147745792</x:v>
      </x:c>
      <x:c r="L43" s="69" t="n">
        <x:f>((1+0*'01_Inputs'!$C$5))*(((0*'01_Inputs'!$C$5))+((((('01_Inputs'!$C$5)*('01_Inputs'!$C$8)))*('01_Inputs'!$D$57)*('01_Inputs'!$C$14))))+0*('01_Inputs'!$C$5)</x:f>
        <x:v>262144</x:v>
      </x:c>
      <x:c r="M43" s="69" t="n">
        <x:f>(((IF(('01_Inputs'!$H$57)=1,('01_Inputs'!$C$5),1)))*((('01_Inputs'!$B$57)*('01_Inputs'!$C$57)+('01_Inputs'!$C$57)*('01_Inputs'!$D$57)))*(('01_Inputs'!$C$35)+('01_Inputs'!$G$57)*('01_Inputs'!$C$36)))</x:f>
        <x:v>2147483648</x:v>
      </x:c>
      <x:c r="N43" s="66" t="n">
        <x:f>IF((((1+0*'01_Inputs'!$C$5))*(((((IF(('01_Inputs'!$H$57)=1,('01_Inputs'!$C$5),1)))*((('01_Inputs'!$B$57)*('01_Inputs'!$C$57)+('01_Inputs'!$C$57)*('01_Inputs'!$D$57)))*('01_Inputs'!$C$35)+((('01_Inputs'!$C$5)*('01_Inputs'!$C$8)))*('01_Inputs'!$B$57)*('01_Inputs'!$C$14)))+((0*'01_Inputs'!$C$5))+((((('01_Inputs'!$C$5)*('01_Inputs'!$C$8)))*('01_Inputs'!$D$57)*('01_Inputs'!$C$14)))))=0,"",(((1+0*'01_Inputs'!$C$5))*((2*((('01_Inputs'!$C$5)*('01_Inputs'!$C$8)))*((('01_Inputs'!$B$57)*('01_Inputs'!$C$57)+('01_Inputs'!$C$57)*('01_Inputs'!$D$57))))))/((((1+0*'01_Inputs'!$C$5))*(((((IF(('01_Inputs'!$H$57)=1,('01_Inputs'!$C$5),1)))*((('01_Inputs'!$B$57)*('01_Inputs'!$C$57)+('01_Inputs'!$C$57)*('01_Inputs'!$D$57)))*('01_Inputs'!$C$35)+((('01_Inputs'!$C$5)*('01_Inputs'!$C$8)))*('01_Inputs'!$B$57)*('01_Inputs'!$C$14)))+((0*'01_Inputs'!$C$5))+((((('01_Inputs'!$C$5)*('01_Inputs'!$C$8)))*('01_Inputs'!$D$57)*('01_Inputs'!$C$14))))))+0*('01_Inputs'!$C$5))</x:f>
        <x:v>1.9995118379301928</x:v>
      </x:c>
      <x:c r="O43" s="66" t="n">
        <x:f>(((1+0*'01_Inputs'!$C$5))*((2*((('01_Inputs'!$C$5)*('01_Inputs'!$C$8)))*((('01_Inputs'!$B$57)*('01_Inputs'!$C$57)+('01_Inputs'!$C$57)*('01_Inputs'!$D$57)))))/(('01_Inputs'!$C$31)*('02_HW'!$C$6))*('02_HW'!$C$10))</x:f>
        <x:v>0.004340665825814171</x:v>
      </x:c>
      <x:c r="P43" s="66" t="n">
        <x:f>(((1+0*'01_Inputs'!$C$5))*(((((IF(('01_Inputs'!$H$57)=1,('01_Inputs'!$C$5),1)))*((('01_Inputs'!$B$57)*('01_Inputs'!$C$57)+('01_Inputs'!$C$57)*('01_Inputs'!$D$57)))*('01_Inputs'!$C$35)+((('01_Inputs'!$C$5)*('01_Inputs'!$C$8)))*('01_Inputs'!$B$57)*('01_Inputs'!$C$14)))+((0*'01_Inputs'!$C$5))+((((('01_Inputs'!$C$5)*('01_Inputs'!$C$8)))*('01_Inputs'!$D$57)*('01_Inputs'!$C$14))))/(('01_Inputs'!$C$32)*('02_HW'!$C$7))*('02_HW'!$C$10))</x:f>
        <x:v>0.6411963988059701</x:v>
      </x:c>
      <x:c r="Q43" s="66" t="n">
        <x:f>(MAX((((1+0*'01_Inputs'!$C$5))*((2*((('01_Inputs'!$C$5)*('01_Inputs'!$C$8)))*((('01_Inputs'!$B$57)*('01_Inputs'!$C$57)+('01_Inputs'!$C$57)*('01_Inputs'!$D$57)))))/(('01_Inputs'!$C$31)*('02_HW'!$C$6))*('02_HW'!$C$10)),(((1+0*'01_Inputs'!$C$5))*(((((IF(('01_Inputs'!$H$57)=1,('01_Inputs'!$C$5),1)))*((('01_Inputs'!$B$57)*('01_Inputs'!$C$57)+('01_Inputs'!$C$57)*('01_Inputs'!$D$57)))*('01_Inputs'!$C$35)+((('01_Inputs'!$C$5)*('01_Inputs'!$C$8)))*('01_Inputs'!$B$57)*('01_Inputs'!$C$14)))+((0*'01_Inputs'!$C$5))+((((('01_Inputs'!$C$5)*('01_Inputs'!$C$8)))*('01_Inputs'!$D$57)*('01_Inputs'!$C$14))))/(('01_Inputs'!$C$32)*('02_HW'!$C$7))*('02_HW'!$C$10)))+((1+0*'01_Inputs'!$C$5))*('02_HW'!$C$9)*('02_HW'!$C$10))</x:f>
        <x:v>0.6411963988059701</x:v>
      </x:c>
      <x:c r="R43" s="21" t="str">
        <x:f>IF(O43&gt;P43,"compute",IF(P43&gt;O43,"memory","balanced"))&amp;IF('01_Inputs'!$C$5&gt;0,"","")</x:f>
        <x:v>memory</x:v>
      </x:c>
      <x:c r="S43" s="24" t="str">
        <x:v>Read period 1; update period remains separate.</x:v>
      </x:c>
    </x:row>
    <x:row r="44">
      <x:c r="A44" s="21" t="n">
        <x:f>ROW()-11+0*('01_Inputs'!$C$5)</x:f>
        <x:v>33</x:v>
      </x:c>
      <x:c r="B44" s="21" t="str">
        <x:v>decode</x:v>
      </x:c>
      <x:c r="C44" s="21" t="str">
        <x:v>cms</x:v>
      </x:c>
      <x:c r="D44" s="21" t="str">
        <x:v>cms_l2_forward</x:v>
      </x:c>
      <x:c r="E44" s="24" t="str">
        <x:v>2NPℓ</x:v>
      </x:c>
      <x:c r="F44" s="66" t="n">
        <x:f>(1+0*'01_Inputs'!$C$5)</x:f>
        <x:v>1</x:v>
      </x:c>
      <x:c r="G44" s="69" t="n">
        <x:f>(2*((('01_Inputs'!$C$5)*('01_Inputs'!$C$8)))*((('01_Inputs'!$B$58)*('01_Inputs'!$C$58)+('01_Inputs'!$C$58)*('01_Inputs'!$D$58))))</x:f>
        <x:v>8589934592</x:v>
      </x:c>
      <x:c r="H44" s="69" t="n">
        <x:f>(((IF(('01_Inputs'!$H$58)=1,('01_Inputs'!$C$5),1)))*((('01_Inputs'!$B$58)*('01_Inputs'!$C$58)+('01_Inputs'!$C$58)*('01_Inputs'!$D$58)))*('01_Inputs'!$C$35)+((('01_Inputs'!$C$5)*('01_Inputs'!$C$8)))*('01_Inputs'!$B$58)*('01_Inputs'!$C$14))</x:f>
        <x:v>4295229440</x:v>
      </x:c>
      <x:c r="I44" s="69" t="n">
        <x:f>(0*'01_Inputs'!$C$5)</x:f>
        <x:v>0</x:v>
      </x:c>
      <x:c r="J44" s="69" t="n">
        <x:f>(((('01_Inputs'!$C$5)*('01_Inputs'!$C$8)))*('01_Inputs'!$D$58)*('01_Inputs'!$C$14))</x:f>
        <x:v>262144</x:v>
      </x:c>
      <x:c r="K44" s="69" t="n">
        <x:f>((1+0*'01_Inputs'!$C$5))*((((IF(('01_Inputs'!$H$58)=1,('01_Inputs'!$C$5),1)))*((('01_Inputs'!$B$58)*('01_Inputs'!$C$58)+('01_Inputs'!$C$58)*('01_Inputs'!$D$58)))*('01_Inputs'!$C$35)+((('01_Inputs'!$C$5)*('01_Inputs'!$C$8)))*('01_Inputs'!$B$58)*('01_Inputs'!$C$14)))+0*('01_Inputs'!$C$5)</x:f>
        <x:v>4295229440</x:v>
      </x:c>
      <x:c r="L44" s="69" t="n">
        <x:f>((1+0*'01_Inputs'!$C$5))*(((0*'01_Inputs'!$C$5))+((((('01_Inputs'!$C$5)*('01_Inputs'!$C$8)))*('01_Inputs'!$D$58)*('01_Inputs'!$C$14))))+0*('01_Inputs'!$C$5)</x:f>
        <x:v>262144</x:v>
      </x:c>
      <x:c r="M44" s="69" t="n">
        <x:f>(((IF(('01_Inputs'!$H$58)=1,('01_Inputs'!$C$5),1)))*((('01_Inputs'!$B$58)*('01_Inputs'!$C$58)+('01_Inputs'!$C$58)*('01_Inputs'!$D$58)))*(('01_Inputs'!$C$35)+('01_Inputs'!$G$58)*('01_Inputs'!$C$36)))</x:f>
        <x:v>4294967296</x:v>
      </x:c>
      <x:c r="N44" s="66" t="n">
        <x:f>IF((((1+0*'01_Inputs'!$C$5))*(((((IF(('01_Inputs'!$H$58)=1,('01_Inputs'!$C$5),1)))*((('01_Inputs'!$B$58)*('01_Inputs'!$C$58)+('01_Inputs'!$C$58)*('01_Inputs'!$D$58)))*('01_Inputs'!$C$35)+((('01_Inputs'!$C$5)*('01_Inputs'!$C$8)))*('01_Inputs'!$B$58)*('01_Inputs'!$C$14)))+((0*'01_Inputs'!$C$5))+((((('01_Inputs'!$C$5)*('01_Inputs'!$C$8)))*('01_Inputs'!$D$58)*('01_Inputs'!$C$14)))))=0,"",(((1+0*'01_Inputs'!$C$5))*((2*((('01_Inputs'!$C$5)*('01_Inputs'!$C$8)))*((('01_Inputs'!$B$58)*('01_Inputs'!$C$58)+('01_Inputs'!$C$58)*('01_Inputs'!$D$58))))))/((((1+0*'01_Inputs'!$C$5))*(((((IF(('01_Inputs'!$H$58)=1,('01_Inputs'!$C$5),1)))*((('01_Inputs'!$B$58)*('01_Inputs'!$C$58)+('01_Inputs'!$C$58)*('01_Inputs'!$D$58)))*('01_Inputs'!$C$35)+((('01_Inputs'!$C$5)*('01_Inputs'!$C$8)))*('01_Inputs'!$B$58)*('01_Inputs'!$C$14)))+((0*'01_Inputs'!$C$5))+((((('01_Inputs'!$C$5)*('01_Inputs'!$C$8)))*('01_Inputs'!$D$58)*('01_Inputs'!$C$14))))))+0*('01_Inputs'!$C$5))</x:f>
        <x:v>1.9997558891736849</x:v>
      </x:c>
      <x:c r="O44" s="66" t="n">
        <x:f>(((1+0*'01_Inputs'!$C$5))*((2*((('01_Inputs'!$C$5)*('01_Inputs'!$C$8)))*((('01_Inputs'!$B$58)*('01_Inputs'!$C$58)+('01_Inputs'!$C$58)*('01_Inputs'!$D$58)))))/(('01_Inputs'!$C$31)*('02_HW'!$C$6))*('02_HW'!$C$10))</x:f>
        <x:v>0.008681331651628342</x:v>
      </x:c>
      <x:c r="P44" s="66" t="n">
        <x:f>(((1+0*'01_Inputs'!$C$5))*(((((IF(('01_Inputs'!$H$58)=1,('01_Inputs'!$C$5),1)))*((('01_Inputs'!$B$58)*('01_Inputs'!$C$58)+('01_Inputs'!$C$58)*('01_Inputs'!$D$58)))*('01_Inputs'!$C$35)+((('01_Inputs'!$C$5)*('01_Inputs'!$C$8)))*('01_Inputs'!$B$58)*('01_Inputs'!$C$14)))+((0*'01_Inputs'!$C$5))+((((('01_Inputs'!$C$5)*('01_Inputs'!$C$8)))*('01_Inputs'!$D$58)*('01_Inputs'!$C$14))))/(('01_Inputs'!$C$32)*('02_HW'!$C$7))*('02_HW'!$C$10))</x:f>
        <x:v>1.2822362937313432</x:v>
      </x:c>
      <x:c r="Q44" s="66" t="n">
        <x:f>(MAX((((1+0*'01_Inputs'!$C$5))*((2*((('01_Inputs'!$C$5)*('01_Inputs'!$C$8)))*((('01_Inputs'!$B$58)*('01_Inputs'!$C$58)+('01_Inputs'!$C$58)*('01_Inputs'!$D$58)))))/(('01_Inputs'!$C$31)*('02_HW'!$C$6))*('02_HW'!$C$10)),(((1+0*'01_Inputs'!$C$5))*(((((IF(('01_Inputs'!$H$58)=1,('01_Inputs'!$C$5),1)))*((('01_Inputs'!$B$58)*('01_Inputs'!$C$58)+('01_Inputs'!$C$58)*('01_Inputs'!$D$58)))*('01_Inputs'!$C$35)+((('01_Inputs'!$C$5)*('01_Inputs'!$C$8)))*('01_Inputs'!$B$58)*('01_Inputs'!$C$14)))+((0*'01_Inputs'!$C$5))+((((('01_Inputs'!$C$5)*('01_Inputs'!$C$8)))*('01_Inputs'!$D$58)*('01_Inputs'!$C$14))))/(('01_Inputs'!$C$32)*('02_HW'!$C$7))*('02_HW'!$C$10)))+((1+0*'01_Inputs'!$C$5))*('02_HW'!$C$9)*('02_HW'!$C$10))</x:f>
        <x:v>1.2822362937313432</x:v>
      </x:c>
      <x:c r="R44" s="21" t="str">
        <x:f>IF(O44&gt;P44,"compute",IF(P44&gt;O44,"memory","balanced"))&amp;IF('01_Inputs'!$C$5&gt;0,"","")</x:f>
        <x:v>memory</x:v>
      </x:c>
      <x:c r="S44" s="24" t="str">
        <x:v>Read period 1; update period remains separate.</x:v>
      </x:c>
    </x:row>
    <x:row r="45">
      <x:c r="A45" s="22" t="n">
        <x:f>ROW()-11+0*('01_Inputs'!$C$5)</x:f>
        <x:v>34</x:v>
      </x:c>
      <x:c r="B45" s="22" t="str">
        <x:v>decode</x:v>
      </x:c>
      <x:c r="C45" s="22" t="str">
        <x:v>cms</x:v>
      </x:c>
      <x:c r="D45" s="22" t="str">
        <x:v>cms_l3_forward</x:v>
      </x:c>
      <x:c r="E45" s="25" t="str">
        <x:v>2NPℓ</x:v>
      </x:c>
      <x:c r="F45" s="67" t="n">
        <x:f>(1+0*'01_Inputs'!$C$5)</x:f>
        <x:v>1</x:v>
      </x:c>
      <x:c r="G45" s="70" t="n">
        <x:f>(2*((('01_Inputs'!$C$5)*('01_Inputs'!$C$8)))*((('01_Inputs'!$B$59)*('01_Inputs'!$C$59)+('01_Inputs'!$C$59)*('01_Inputs'!$D$59))))</x:f>
        <x:v>17179869184</x:v>
      </x:c>
      <x:c r="H45" s="70" t="n">
        <x:f>(((IF(('01_Inputs'!$H$59)=1,('01_Inputs'!$C$5),1)))*((('01_Inputs'!$B$59)*('01_Inputs'!$C$59)+('01_Inputs'!$C$59)*('01_Inputs'!$D$59)))*('01_Inputs'!$C$35)+((('01_Inputs'!$C$5)*('01_Inputs'!$C$8)))*('01_Inputs'!$B$59)*('01_Inputs'!$C$14))</x:f>
        <x:v>8590196736</x:v>
      </x:c>
      <x:c r="I45" s="70" t="n">
        <x:f>(0*'01_Inputs'!$C$5)</x:f>
        <x:v>0</x:v>
      </x:c>
      <x:c r="J45" s="70" t="n">
        <x:f>(((('01_Inputs'!$C$5)*('01_Inputs'!$C$8)))*('01_Inputs'!$D$59)*('01_Inputs'!$C$14))</x:f>
        <x:v>262144</x:v>
      </x:c>
      <x:c r="K45" s="70" t="n">
        <x:f>((1+0*'01_Inputs'!$C$5))*((((IF(('01_Inputs'!$H$59)=1,('01_Inputs'!$C$5),1)))*((('01_Inputs'!$B$59)*('01_Inputs'!$C$59)+('01_Inputs'!$C$59)*('01_Inputs'!$D$59)))*('01_Inputs'!$C$35)+((('01_Inputs'!$C$5)*('01_Inputs'!$C$8)))*('01_Inputs'!$B$59)*('01_Inputs'!$C$14)))+0*('01_Inputs'!$C$5)</x:f>
        <x:v>8590196736</x:v>
      </x:c>
      <x:c r="L45" s="70" t="n">
        <x:f>((1+0*'01_Inputs'!$C$5))*(((0*'01_Inputs'!$C$5))+((((('01_Inputs'!$C$5)*('01_Inputs'!$C$8)))*('01_Inputs'!$D$59)*('01_Inputs'!$C$14))))+0*('01_Inputs'!$C$5)</x:f>
        <x:v>262144</x:v>
      </x:c>
      <x:c r="M45" s="70" t="n">
        <x:f>(((IF(('01_Inputs'!$H$59)=1,('01_Inputs'!$C$5),1)))*((('01_Inputs'!$B$59)*('01_Inputs'!$C$59)+('01_Inputs'!$C$59)*('01_Inputs'!$D$59)))*(('01_Inputs'!$C$35)+('01_Inputs'!$G$59)*('01_Inputs'!$C$36)))</x:f>
        <x:v>8589934592</x:v>
      </x:c>
      <x:c r="N45" s="67" t="n">
        <x:f>IF((((1+0*'01_Inputs'!$C$5))*(((((IF(('01_Inputs'!$H$59)=1,('01_Inputs'!$C$5),1)))*((('01_Inputs'!$B$59)*('01_Inputs'!$C$59)+('01_Inputs'!$C$59)*('01_Inputs'!$D$59)))*('01_Inputs'!$C$35)+((('01_Inputs'!$C$5)*('01_Inputs'!$C$8)))*('01_Inputs'!$B$59)*('01_Inputs'!$C$14)))+((0*'01_Inputs'!$C$5))+((((('01_Inputs'!$C$5)*('01_Inputs'!$C$8)))*('01_Inputs'!$D$59)*('01_Inputs'!$C$14)))))=0,"",(((1+0*'01_Inputs'!$C$5))*((2*((('01_Inputs'!$C$5)*('01_Inputs'!$C$8)))*((('01_Inputs'!$B$59)*('01_Inputs'!$C$59)+('01_Inputs'!$C$59)*('01_Inputs'!$D$59))))))/((((1+0*'01_Inputs'!$C$5))*(((((IF(('01_Inputs'!$H$59)=1,('01_Inputs'!$C$5),1)))*((('01_Inputs'!$B$59)*('01_Inputs'!$C$59)+('01_Inputs'!$C$59)*('01_Inputs'!$D$59)))*('01_Inputs'!$C$35)+((('01_Inputs'!$C$5)*('01_Inputs'!$C$8)))*('01_Inputs'!$B$59)*('01_Inputs'!$C$14)))+((0*'01_Inputs'!$C$5))+((((('01_Inputs'!$C$5)*('01_Inputs'!$C$8)))*('01_Inputs'!$D$59)*('01_Inputs'!$C$14))))))+0*('01_Inputs'!$C$5))</x:f>
        <x:v>1.9998779371376258</x:v>
      </x:c>
      <x:c r="O45" s="67" t="n">
        <x:f>(((1+0*'01_Inputs'!$C$5))*((2*((('01_Inputs'!$C$5)*('01_Inputs'!$C$8)))*((('01_Inputs'!$B$59)*('01_Inputs'!$C$59)+('01_Inputs'!$C$59)*('01_Inputs'!$D$59)))))/(('01_Inputs'!$C$31)*('02_HW'!$C$6))*('02_HW'!$C$10))</x:f>
        <x:v>0.017362663303256684</x:v>
      </x:c>
      <x:c r="P45" s="67" t="n">
        <x:f>(((1+0*'01_Inputs'!$C$5))*(((((IF(('01_Inputs'!$H$59)=1,('01_Inputs'!$C$5),1)))*((('01_Inputs'!$B$59)*('01_Inputs'!$C$59)+('01_Inputs'!$C$59)*('01_Inputs'!$D$59)))*('01_Inputs'!$C$35)+((('01_Inputs'!$C$5)*('01_Inputs'!$C$8)))*('01_Inputs'!$B$59)*('01_Inputs'!$C$14)))+((0*'01_Inputs'!$C$5))+((((('01_Inputs'!$C$5)*('01_Inputs'!$C$8)))*('01_Inputs'!$D$59)*('01_Inputs'!$C$14))))/(('01_Inputs'!$C$32)*('02_HW'!$C$7))*('02_HW'!$C$10))</x:f>
        <x:v>2.5643160835820895</x:v>
      </x:c>
      <x:c r="Q45" s="67" t="n">
        <x:f>(MAX((((1+0*'01_Inputs'!$C$5))*((2*((('01_Inputs'!$C$5)*('01_Inputs'!$C$8)))*((('01_Inputs'!$B$59)*('01_Inputs'!$C$59)+('01_Inputs'!$C$59)*('01_Inputs'!$D$59)))))/(('01_Inputs'!$C$31)*('02_HW'!$C$6))*('02_HW'!$C$10)),(((1+0*'01_Inputs'!$C$5))*(((((IF(('01_Inputs'!$H$59)=1,('01_Inputs'!$C$5),1)))*((('01_Inputs'!$B$59)*('01_Inputs'!$C$59)+('01_Inputs'!$C$59)*('01_Inputs'!$D$59)))*('01_Inputs'!$C$35)+((('01_Inputs'!$C$5)*('01_Inputs'!$C$8)))*('01_Inputs'!$B$59)*('01_Inputs'!$C$14)))+((0*'01_Inputs'!$C$5))+((((('01_Inputs'!$C$5)*('01_Inputs'!$C$8)))*('01_Inputs'!$D$59)*('01_Inputs'!$C$14))))/(('01_Inputs'!$C$32)*('02_HW'!$C$7))*('02_HW'!$C$10)))+((1+0*'01_Inputs'!$C$5))*('02_HW'!$C$9)*('02_HW'!$C$10))</x:f>
        <x:v>2.5643160835820895</x:v>
      </x:c>
      <x:c r="R45" s="22" t="str">
        <x:f>IF(O45&gt;P45,"compute",IF(P45&gt;O45,"memory","balanced"))&amp;IF('01_Inputs'!$C$5&gt;0,"","")</x:f>
        <x:v>memory</x:v>
      </x:c>
      <x:c r="S45" s="25" t="str">
        <x:v>Read period 1; update period remains separate.</x:v>
      </x:c>
    </x:row>
  </x:sheetData>
  <x:mergeCells>
    <x:mergeCell ref="A1:S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32" hidden="0" customWidth="1"/>
    <x:col min="12" max="12" width="16" hidden="0" customWidth="1"/>
    <x:col min="13" max="13" width="20" hidden="0" customWidth="1"/>
  </x:cols>
  <x:sheetData>
    <x:row r="1" ht="28" customHeight="1">
      <x:c r="A1" s="3" t="str">
        <x:v>30 · Architecture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8" customHeight="1">
      <x:c r="A2" s="7" t="str">
        <x:v>Formula-linked summary, ratios, HBM-fit checks, and the two approved comparison charts.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5">
      <x:c r="A5" s="14" t="str">
        <x:v>Architecture / phase</x:v>
      </x:c>
      <x:c r="B5" s="28" t="str">
        <x:v>Stagewise ms</x:v>
      </x:c>
      <x:c r="C5" s="28" t="str">
        <x:v>Aggregate ms</x:v>
      </x:c>
      <x:c r="D5" s="28" t="str">
        <x:v>FLOPs</x:v>
      </x:c>
      <x:c r="E5" s="28" t="str">
        <x:v>HBM GiB</x:v>
      </x:c>
      <x:c r="F5" s="28" t="str">
        <x:v>AI FLOP/B</x:v>
      </x:c>
      <x:c r="G5" s="28" t="str">
        <x:v>State GiB</x:v>
      </x:c>
      <x:c r="H5" s="28" t="str">
        <x:v>HBM fit</x:v>
      </x:c>
      <x:c r="I5" s="15" t="str">
        <x:v>Bound</x:v>
      </x:c>
      <x:c r="K5" s="50" t="str">
        <x:v>Case</x:v>
      </x:c>
      <x:c r="L5" s="51" t="str">
        <x:v>AI FLOP/B</x:v>
      </x:c>
      <x:c r="M5" s="52" t="str">
        <x:v>Effective TFLOP/s</x:v>
      </x:c>
    </x:row>
    <x:row r="6">
      <x:c r="A6" s="20" t="str">
        <x:v>Attention+MoE · prefill</x:v>
      </x:c>
      <x:c r="B6" s="65" t="n">
        <x:f>'10_AttnMoE_Prefill'!$J$3+0*('01_Inputs'!$C$5)</x:f>
        <x:v>93.38632175616647</x:v>
      </x:c>
      <x:c r="C6" s="65" t="n">
        <x:f>'10_AttnMoE_Prefill'!$I$3+0*('01_Inputs'!$C$5)</x:f>
        <x:v>91.28530655852009</x:v>
      </x:c>
      <x:c r="D6" s="76" t="n">
        <x:f>'10_AttnMoE_Prefill'!$A$3+0*('01_Inputs'!$C$5)</x:f>
        <x:v>90324254851072</x:v>
      </x:c>
      <x:c r="E6" s="79" t="n">
        <x:f>'10_AttnMoE_Prefill'!$D$3/'02_HW'!$C$11+0*('01_Inputs'!$C$5)</x:f>
        <x:v>63.251953125</x:v>
      </x:c>
      <x:c r="F6" s="79" t="n">
        <x:f>'10_AttnMoE_Prefill'!$F$3+0*('01_Inputs'!$C$5)</x:f>
        <x:v>1329.9354948278524</x:v>
      </x:c>
      <x:c r="G6" s="79" t="n">
        <x:f>'10_AttnMoE_Prefill'!$E$3/'02_HW'!$C$11+0*('01_Inputs'!$C$5)</x:f>
        <x:v>1</x:v>
      </x:c>
      <x:c r="H6" s="20" t="str">
        <x:f>'10_AttnMoE_Prefill'!$L$3&amp;IF('01_Inputs'!$C$5&gt;0,"","")</x:f>
        <x:v>FIT</x:v>
      </x:c>
      <x:c r="I6" s="20" t="str">
        <x:f>'10_AttnMoE_Prefill'!$K$3&amp;IF('01_Inputs'!$C$5&gt;0,"","")</x:f>
        <x:v>compute</x:v>
      </x:c>
      <x:c r="K6" s="20" t="str">
        <x:v>Attention+MoE · prefill</x:v>
      </x:c>
      <x:c r="L6" s="79" t="n">
        <x:f>'10_AttnMoE_Prefill'!$F$3+0*('01_Inputs'!$C$5)</x:f>
        <x:v>1329.9354948278524</x:v>
      </x:c>
      <x:c r="M6" s="79" t="n">
        <x:f>('10_AttnMoE_Prefill'!$A$3/('10_AttnMoE_Prefill'!$J$3/'02_HW'!$C$10))/'02_HW'!$C$12+0*('01_Inputs'!$C$5)</x:f>
        <x:v>967.2107558418503</x:v>
      </x:c>
    </x:row>
    <x:row r="7">
      <x:c r="A7" s="21" t="str">
        <x:v>HOPE shipped · prefill</x:v>
      </x:c>
      <x:c r="B7" s="66" t="n">
        <x:f>'20_HOPE_Prefill'!$J$3+0*('01_Inputs'!$C$5)</x:f>
        <x:v>451.376552017883</x:v>
      </x:c>
      <x:c r="C7" s="66" t="n">
        <x:f>'20_HOPE_Prefill'!$I$3+0*('01_Inputs'!$C$5)</x:f>
        <x:v>426.77806273898</x:v>
      </x:c>
      <x:c r="D7" s="77" t="n">
        <x:f>'20_HOPE_Prefill'!$A$3+0*('01_Inputs'!$C$5)</x:f>
        <x:v>422284943294464</x:v>
      </x:c>
      <x:c r="E7" s="80" t="n">
        <x:f>'20_HOPE_Prefill'!$D$3/'02_HW'!$C$11+0*('01_Inputs'!$C$5)</x:f>
        <x:v>324.57177734375</x:v>
      </x:c>
      <x:c r="F7" s="80" t="n">
        <x:f>'20_HOPE_Prefill'!$F$3+0*('01_Inputs'!$C$5)</x:f>
        <x:v>1211.6996241291486</x:v>
      </x:c>
      <x:c r="G7" s="80" t="n">
        <x:f>'20_HOPE_Prefill'!$E$3/'02_HW'!$C$11+0*('01_Inputs'!$C$5)</x:f>
        <x:v>94.00244140625</x:v>
      </x:c>
      <x:c r="H7" s="21" t="str">
        <x:f>'20_HOPE_Prefill'!$L$3&amp;IF('01_Inputs'!$C$5&gt;0,"","")</x:f>
        <x:v>EXCEEDS</x:v>
      </x:c>
      <x:c r="I7" s="21" t="str">
        <x:f>'20_HOPE_Prefill'!$K$3&amp;IF('01_Inputs'!$C$5&gt;0,"","")</x:f>
        <x:v>compute</x:v>
      </x:c>
      <x:c r="K7" s="21" t="str">
        <x:v>HOPE shipped · prefill</x:v>
      </x:c>
      <x:c r="L7" s="80" t="n">
        <x:f>'20_HOPE_Prefill'!$F$3+0*('01_Inputs'!$C$5)</x:f>
        <x:v>1211.6996241291486</x:v>
      </x:c>
      <x:c r="M7" s="80" t="n">
        <x:f>('20_HOPE_Prefill'!$A$3/('20_HOPE_Prefill'!$J$3/'02_HW'!$C$10))/'02_HW'!$C$12+0*('01_Inputs'!$C$5)</x:f>
        <x:v>935.5491360963154</x:v>
      </x:c>
    </x:row>
    <x:row r="8">
      <x:c r="A8" s="21" t="str">
        <x:v>Attention+MoE · decode</x:v>
      </x:c>
      <x:c r="B8" s="66" t="n">
        <x:f>'11_AttnMoE_Decode'!$J$3+0*('01_Inputs'!$C$5)</x:f>
        <x:v>24.051185910849703</x:v>
      </x:c>
      <x:c r="C8" s="66" t="n">
        <x:f>'11_AttnMoE_Decode'!$I$3+0*('01_Inputs'!$C$5)</x:f>
        <x:v>24.051185910849703</x:v>
      </x:c>
      <x:c r="D8" s="77" t="n">
        <x:f>'11_AttnMoE_Decode'!$A$3+0*('01_Inputs'!$C$5)</x:f>
        <x:v>181800013824</x:v>
      </x:c>
      <x:c r="E8" s="80" t="n">
        <x:f>'11_AttnMoE_Decode'!$D$3/'02_HW'!$C$11+0*('01_Inputs'!$C$5)</x:f>
        <x:v>75.03803148991103</x:v>
      </x:c>
      <x:c r="F8" s="80" t="n">
        <x:f>'11_AttnMoE_Decode'!$F$3+0*('01_Inputs'!$C$5)</x:f>
        <x:v>2.2563819116505184</x:v>
      </x:c>
      <x:c r="G8" s="80" t="n">
        <x:f>'11_AttnMoE_Decode'!$E$3/'02_HW'!$C$11+0*('01_Inputs'!$C$5)</x:f>
        <x:v>64</x:v>
      </x:c>
      <x:c r="H8" s="21" t="str">
        <x:f>'11_AttnMoE_Decode'!$L$3&amp;IF('01_Inputs'!$C$5&gt;0,"","")</x:f>
        <x:v>FIT</x:v>
      </x:c>
      <x:c r="I8" s="21" t="str">
        <x:f>'11_AttnMoE_Decode'!$K$3&amp;IF('01_Inputs'!$C$5&gt;0,"","")</x:f>
        <x:v>memory</x:v>
      </x:c>
      <x:c r="K8" s="21" t="str">
        <x:v>Attention+MoE · decode</x:v>
      </x:c>
      <x:c r="L8" s="80" t="n">
        <x:f>'11_AttnMoE_Decode'!$F$3+0*('01_Inputs'!$C$5)</x:f>
        <x:v>2.2563819116505184</x:v>
      </x:c>
      <x:c r="M8" s="80" t="n">
        <x:f>('11_AttnMoE_Decode'!$A$3/('11_AttnMoE_Decode'!$J$3/'02_HW'!$C$10))/'02_HW'!$C$12+0*('01_Inputs'!$C$5)</x:f>
        <x:v>7.558879404029238</x:v>
      </x:c>
    </x:row>
    <x:row r="9">
      <x:c r="A9" s="22" t="str">
        <x:v>HOPE shipped · decode amortized</x:v>
      </x:c>
      <x:c r="B9" s="67" t="n">
        <x:f>'21_HOPE_Decode'!$J$3+0*('01_Inputs'!$C$5)</x:f>
        <x:v>76.35361546016657</x:v>
      </x:c>
      <x:c r="C9" s="67" t="n">
        <x:f>'21_HOPE_Decode'!$I$3+0*('01_Inputs'!$C$5)</x:f>
        <x:v>76.31950901492539</x:v>
      </x:c>
      <x:c r="D9" s="78" t="n">
        <x:f>'21_HOPE_Decode'!$A$3+0*('01_Inputs'!$C$5)</x:f>
        <x:v>206193819968</x:v>
      </x:c>
      <x:c r="E9" s="81" t="n">
        <x:f>'21_HOPE_Decode'!$D$3/'02_HW'!$C$11+0*('01_Inputs'!$C$5)</x:f>
        <x:v>238.1115734577179</x:v>
      </x:c>
      <x:c r="F9" s="81" t="n">
        <x:f>'21_HOPE_Decode'!$F$3+0*('01_Inputs'!$C$5)</x:f>
        <x:v>0.806483097372409</x:v>
      </x:c>
      <x:c r="G9" s="81" t="n">
        <x:f>'21_HOPE_Decode'!$E$3/'02_HW'!$C$11+0*('01_Inputs'!$C$5)</x:f>
        <x:v>94.00244140625</x:v>
      </x:c>
      <x:c r="H9" s="22" t="str">
        <x:f>'21_HOPE_Decode'!$L$3&amp;IF('01_Inputs'!$C$5&gt;0,"","")</x:f>
        <x:v>EXCEEDS</x:v>
      </x:c>
      <x:c r="I9" s="22" t="str">
        <x:f>'21_HOPE_Decode'!$K$3&amp;IF('01_Inputs'!$C$5&gt;0,"","")</x:f>
        <x:v>memory</x:v>
      </x:c>
      <x:c r="K9" s="22" t="str">
        <x:v>HOPE shipped · decode amortized</x:v>
      </x:c>
      <x:c r="L9" s="81" t="n">
        <x:f>'21_HOPE_Decode'!$F$3+0*('01_Inputs'!$C$5)</x:f>
        <x:v>0.806483097372409</x:v>
      </x:c>
      <x:c r="M9" s="81" t="n">
        <x:f>('21_HOPE_Decode'!$A$3/('21_HOPE_Decode'!$J$3/'02_HW'!$C$10))/'02_HW'!$C$12+0*('01_Inputs'!$C$5)</x:f>
        <x:v>2.7005115438910767</x:v>
      </x:c>
    </x:row>
    <x:row r="12">
      <x:c r="A12" s="50" t="str">
        <x:v>Ratio / timing</x:v>
      </x:c>
      <x:c r="B12" s="51" t="str">
        <x:v>Value</x:v>
      </x:c>
      <x:c r="C12" s="52" t="str">
        <x:v>Interpretation</x:v>
      </x:c>
    </x:row>
    <x:row r="13">
      <x:c r="A13" s="20" t="str">
        <x:v>Prefill Attn / HOPE stagewise</x:v>
      </x:c>
      <x:c r="B13" s="65" t="n">
        <x:f>'10_AttnMoE_Prefill'!$J$3/'20_HOPE_Prefill'!$J$3+0*('01_Inputs'!$C$5)</x:f>
        <x:v>0.206892275060993</x:v>
      </x:c>
      <x:c r="C13" s="20" t="str">
        <x:v>&lt;1 means Attention is faster</x:v>
      </x:c>
    </x:row>
    <x:row r="14">
      <x:c r="A14" s="21" t="str">
        <x:v>Decode Attn / HOPE amortized</x:v>
      </x:c>
      <x:c r="B14" s="66" t="n">
        <x:f>'11_AttnMoE_Decode'!$J$3/'21_HOPE_Decode'!$B$8+0*('01_Inputs'!$C$5)</x:f>
        <x:v>0.31499734185340744</x:v>
      </x:c>
      <x:c r="C14" s="21" t="str">
        <x:v>&lt;1 means Attention is faster</x:v>
      </x:c>
    </x:row>
    <x:row r="15">
      <x:c r="A15" s="21" t="str">
        <x:v>HOPE normal decode ms</x:v>
      </x:c>
      <x:c r="B15" s="66" t="n">
        <x:f>'21_HOPE_Decode'!$B$6+0*('01_Inputs'!$C$5)</x:f>
        <x:v>76.34359890613672</x:v>
      </x:c>
      <x:c r="C15" s="21" t="str">
        <x:v>No state apply</x:v>
      </x:c>
    </x:row>
    <x:row r="16">
      <x:c r="A16" s="21" t="str">
        <x:v>HOPE boundary decode ms</x:v>
      </x:c>
      <x:c r="B16" s="66" t="n">
        <x:f>'21_HOPE_Decode'!$B$7+0*('01_Inputs'!$C$5)</x:f>
        <x:v>96.85750155927104</x:v>
      </x:c>
      <x:c r="C16" s="21" t="str">
        <x:v>All memory boundaries simultaneous</x:v>
      </x:c>
    </x:row>
    <x:row r="17">
      <x:c r="A17" s="22" t="str">
        <x:v>HOPE amortized decode ms</x:v>
      </x:c>
      <x:c r="B17" s="67" t="n">
        <x:f>'21_HOPE_Decode'!$B$8+0*('01_Inputs'!$C$5)</x:f>
        <x:v>76.35361546016657</x:v>
      </x:c>
      <x:c r="C17" s="22" t="str">
        <x:v>Per-memory-period expectation</x:v>
      </x:c>
    </x:row>
  </x:sheetData>
  <x:mergeCells>
    <x:mergeCell ref="A1:W1"/>
    <x:mergeCell ref="A2:W2"/>
  </x:mergeCells>
  <x:pageMargins left="0.7" right="0.7" top="0.75" bottom="0.75" header="0.3" footer="0.3"/>
  <x:drawing xmlns:r="http://schemas.openxmlformats.org/officeDocument/2006/relationships" r:id="Rccd6ad35bb5345de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3" t="str">
        <x:v>40 · Context and batch sweeps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28" customHeight="1">
      <x:c r="A2" s="7" t="str">
        <x:v>All sweep outputs are formulas. Imported engine values appear only on 90_QA as references.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5">
      <x:c r="A5" s="14" t="str">
        <x:v>Context tokens</x:v>
      </x:c>
      <x:c r="B5" s="28" t="str">
        <x:v>Attention decode ms</x:v>
      </x:c>
      <x:c r="C5" s="28" t="str">
        <x:v>HOPE decode ms</x:v>
      </x:c>
      <x:c r="D5" s="28" t="str">
        <x:v>Attention state GiB</x:v>
      </x:c>
      <x:c r="E5" s="28" t="str">
        <x:v>HOPE state GiB</x:v>
      </x:c>
      <x:c r="F5" s="15" t="str">
        <x:v>Attn / HOPE latency</x:v>
      </x:c>
      <x:c r="H5" s="50" t="str">
        <x:v>qkv_projection</x:v>
      </x:c>
      <x:c r="I5" s="51" t="str">
        <x:v>kv_cache_append</x:v>
      </x:c>
      <x:c r="J5" s="51" t="str">
        <x:v>q_materialization_read</x:v>
      </x:c>
      <x:c r="K5" s="51" t="str">
        <x:v>flash_decode_partials</x:v>
      </x:c>
      <x:c r="L5" s="51" t="str">
        <x:v>flash_decode_reduce</x:v>
      </x:c>
      <x:c r="M5" s="51" t="str">
        <x:v>output_projection</x:v>
      </x:c>
      <x:c r="N5" s="51" t="str">
        <x:v>moe_router</x:v>
      </x:c>
      <x:c r="O5" s="51" t="str">
        <x:v>moe_dispatch</x:v>
      </x:c>
      <x:c r="P5" s="51" t="str">
        <x:v>expert_up_projection</x:v>
      </x:c>
      <x:c r="Q5" s="51" t="str">
        <x:v>expert_gate_projection</x:v>
      </x:c>
      <x:c r="R5" s="51" t="str">
        <x:v>expert_swiglu_activation</x:v>
      </x:c>
      <x:c r="S5" s="51" t="str">
        <x:v>expert_down_projection</x:v>
      </x:c>
      <x:c r="T5" s="52" t="str">
        <x:v>moe_combine</x:v>
      </x:c>
    </x:row>
    <x:row r="6">
      <x:c r="A6" s="82" t="n">
        <x:f>'01_Inputs'!$B$64+0*('01_Inputs'!$C$5)</x:f>
        <x:v>1024</x:v>
      </x:c>
      <x:c r="B6" s="65" t="n">
        <x:f>SUM(H6:T6)+0*('01_Inputs'!$C$5)</x:f>
        <x:v>3.657791245775076</x:v>
      </x:c>
      <x:c r="C6" s="65" t="n">
        <x:f>'21_HOPE_Decode'!$B$8+0*($A$6)+0*('01_Inputs'!$C$5)</x:f>
        <x:v>76.35361546016657</x:v>
      </x:c>
      <x:c r="D6" s="65" t="n">
        <x:f>(2*('01_Inputs'!$C$5)*($A$6)*('01_Inputs'!$C$13)*('01_Inputs'!$C$11)*('01_Inputs'!$C$16))/'02_HW'!$C$11</x:f>
        <x:v>0.5</x:v>
      </x:c>
      <x:c r="E6" s="65" t="n">
        <x:f>'21_HOPE_Decode'!$E$3/'02_HW'!$C$11+0*($A$6)+0*('01_Inputs'!$C$5)</x:f>
        <x:v>94.00244140625</x:v>
      </x:c>
      <x:c r="F6" s="65" t="n">
        <x:f>B6/C6+0*('01_Inputs'!$C$5)</x:f>
        <x:v>0.047905933775766435</x:v>
      </x:c>
      <x:c r="G6" s="20"/>
      <x:c r="H6" s="20" t="n">
        <x:f>(MAX((((1+0*'01_Inputs'!$C$5))*((2*((('01_Inputs'!$C$5)*('01_Inputs'!$C$8)))*('01_Inputs'!$C$10)*(((('01_Inputs'!$C$12)*('01_Inputs'!$C$11)))+2*((('01_Inputs'!$C$13)*('01_Inputs'!$C$11))))))/(('01_Inputs'!$C$31)*('02_HW'!$C$6))*('02_HW'!$C$10)),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)+((1+0*'01_Inputs'!$C$5))*('02_HW'!$C$9)*('02_HW'!$C$10))</x:f>
        <x:v>0.06025399402985075</x:v>
      </x:c>
      <x:c r="I6" s="20" t="n">
        <x:f>(MAX((((1+0*'01_Inputs'!$C$5))*((0*'01_Inputs'!$C$5))/(('01_Inputs'!$C$31)*('02_HW'!$C$6))*('02_HW'!$C$10)),(((1+0*'01_Inputs'!$C$5))*(((0*'01_Inputs'!$C$5))+((2*((('01_Inputs'!$C$5)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J6" s="20" t="n">
        <x:f>(MAX((((1+0*'01_Inputs'!$C$5))*((0*'01_Inputs'!$C$5))/(('01_Inputs'!$C$31)*('02_HW'!$C$6))*('02_HW'!$C$10)),(((1+0*'01_Inputs'!$C$5))*(((((('01_Inputs'!$C$5)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K6" s="20" t="n">
        <x:f>(MAX((((1+0*'01_Inputs'!$C$5))*((4*((('01_Inputs'!$C$5)*('01_Inputs'!$C$12)*('01_Inputs'!$C$8)*($A$6)))*('01_Inputs'!$C$11)+('01_Inputs'!$C$22)*((('01_Inputs'!$C$5)*('01_Inputs'!$C$12)*('01_Inputs'!$C$8)*($A$6)))))/(('01_Inputs'!$C$31)*('02_HW'!$C$6))*('02_HW'!$C$10)),(((1+0*'01_Inputs'!$C$5))*(((2*('01_Inputs'!$C$5)*($A$6)*((('01_Inputs'!$C$13)*('01_Inputs'!$C$11)))*('01_Inputs'!$C$16)*('01_Inputs'!$C$21)))+((IF(((INT((($A$6)+('01_Inputs'!$C$20)-1)/('01_Inputs'!$C$20))))=1,(((('01_Inputs'!$C$5)*('01_Inputs'!$C$8)))*((('01_Inputs'!$C$12)*('01_Inputs'!$C$11)))*('01_Inputs'!$C$14)),0)))+((IF(((INT((($A$6)+('01_Inputs'!$C$20)-1)/('01_Inputs'!$C$20))))=1,0,('01_Inputs'!$C$5)*('01_Inputs'!$C$8)*('01_Inputs'!$C$12)*((INT((($A$6)+('01_Inputs'!$C$20)-1)/('01_Inputs'!$C$20))))*(('01_Inputs'!$C$11)*('01_Inputs'!$C$17)+('01_Inputs'!$C$18))))))/(('01_Inputs'!$C$32)*('02_HW'!$C$7))*('02_HW'!$C$10)))+((1+0*'01_Inputs'!$C$5))*('02_HW'!$C$9)*('02_HW'!$C$10))</x:f>
        <x:v>0.1603382256716418</x:v>
      </x:c>
      <x:c r="L6" s="20" t="n">
        <x:f>(MAX((((IF(((INT((($A$6)+('01_Inputs'!$C$20)-1)/('01_Inputs'!$C$20))))&gt;1,1,0)+0*'01_Inputs'!$C$5))*((0*'01_Inputs'!$C$5))/(('01_Inputs'!$C$31)*('02_HW'!$C$6))*('02_HW'!$C$10)),(((IF(((INT((($A$6)+('01_Inputs'!$C$20)-1)/('01_Inputs'!$C$20))))&gt;1,1,0)+0*'01_Inputs'!$C$5))*(((IF(((INT((($A$6)+('01_Inputs'!$C$20)-1)/('01_Inputs'!$C$20))))=1,0,('01_Inputs'!$C$5)*('01_Inputs'!$C$8)*('01_Inputs'!$C$12)*((INT((($A$6)+('01_Inputs'!$C$20)-1)/('01_Inputs'!$C$20))))*(('01_Inputs'!$C$11)*('01_Inputs'!$C$17)+('01_Inputs'!$C$18)))))+((((('01_Inputs'!$C$5)*('01_Inputs'!$C$8)))*((('01_Inputs'!$C$12)*('01_Inputs'!$C$11)))*('01_Inputs'!$C$14)))+((0*'01_Inputs'!$C$5)))/(('01_Inputs'!$C$32)*('02_HW'!$C$7))*('02_HW'!$C$10)))+((IF(((INT((($A$6)+('01_Inputs'!$C$20)-1)/('01_Inputs'!$C$20))))&gt;1,1,0)+0*'01_Inputs'!$C$5))*('02_HW'!$C$9)*('02_HW'!$C$10))</x:f>
        <x:v>0</x:v>
      </x:c>
      <x:c r="M6" s="20" t="n">
        <x:f>(MAX((((1+0*'01_Inputs'!$C$5))*((2*((('01_Inputs'!$C$5)*('01_Inputs'!$C$8)))*((('01_Inputs'!$C$12)*('01_Inputs'!$C$11)))*('01_Inputs'!$C$10)))/(('01_Inputs'!$C$31)*('02_HW'!$C$6))*('02_HW'!$C$10)),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N6" s="20" t="n">
        <x:f>(MAX((((1+0*'01_Inputs'!$C$5))*((2*((('01_Inputs'!$C$5)*('01_Inputs'!$C$8)))*('01_Inputs'!$C$10)*('01_Inputs'!$C$23)+('01_Inputs'!$C$27)*((('01_Inputs'!$C$5)*('01_Inputs'!$C$8)))*('01_Inputs'!$C$23)))/(('01_Inputs'!$C$31)*('02_HW'!$C$6))*('02_HW'!$C$10)),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)+((1+0*'01_Inputs'!$C$5))*('02_HW'!$C$9)*('02_HW'!$C$10))</x:f>
        <x:v>0.0003913361194029851</x:v>
      </x:c>
      <x:c r="O6" s="20" t="n">
        <x:f>(MAX((((1+0*'01_Inputs'!$C$5))*((0*'01_Inputs'!$C$5))/(('01_Inputs'!$C$31)*('02_HW'!$C$6))*('02_HW'!$C$10)),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)+((1+0*'01_Inputs'!$C$5))*('02_HW'!$C$9)*('02_HW'!$C$10))</x:f>
        <x:v>0.0001565802985074627</x:v>
      </x:c>
      <x:c r="P6" s="20" t="n">
        <x:f>(MAX((((1+0*'01_Inputs'!$C$5))*((2*((('01_Inputs'!$C$5)*('01_Inputs'!$C$8)))*('01_Inputs'!$C$24)*('01_Inputs'!$C$10)*('01_Inputs'!$C$25)))/(('01_Inputs'!$C$31)*('02_HW'!$C$6))*('02_HW'!$C$10)),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Q6" s="20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6" s="20" t="n">
        <x:f>(MAX((((1+0*'01_Inputs'!$C$5))*((((('01_Inputs'!$C$5)*('01_Inputs'!$C$8)))*('01_Inputs'!$C$24)*('01_Inputs'!$C$25)*('01_Inputs'!$C$33)))/(('01_Inputs'!$C$31)*('02_HW'!$C$6))*('02_HW'!$C$10)),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0.00046951164179104477</x:v>
      </x:c>
      <x:c r="S6" s="20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)+((1+0*'01_Inputs'!$C$5))*('02_HW'!$C$9)*('02_HW'!$C$10))</x:f>
        <x:v>1.1385337792384582</x:v>
      </x:c>
      <x:c r="T6" s="20" t="n">
        <x:f>(MAX((((1+0*'01_Inputs'!$C$5))*((0*'01_Inputs'!$C$5))/(('01_Inputs'!$C$31)*('02_HW'!$C$6))*('02_HW'!$C$10)),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)+((1+0*'01_Inputs'!$C$5))*('02_HW'!$C$9)*('02_HW'!$C$10))</x:f>
        <x:v>0.0001565038805970149</x:v>
      </x:c>
    </x:row>
    <x:row r="7">
      <x:c r="A7" s="83" t="n">
        <x:f>'01_Inputs'!$C$64+0*('01_Inputs'!$C$5)</x:f>
        <x:v>4096</x:v>
      </x:c>
      <x:c r="B7" s="66" t="n">
        <x:f>SUM(H7:T7)+0*('01_Inputs'!$C$5)</x:f>
        <x:v>4.13983297950642</x:v>
      </x:c>
      <x:c r="C7" s="66" t="n">
        <x:f>'21_HOPE_Decode'!$B$8+0*($A$7)+0*('01_Inputs'!$C$5)</x:f>
        <x:v>76.35361546016657</x:v>
      </x:c>
      <x:c r="D7" s="66" t="n">
        <x:f>(2*('01_Inputs'!$C$5)*($A$7)*('01_Inputs'!$C$13)*('01_Inputs'!$C$11)*('01_Inputs'!$C$16))/'02_HW'!$C$11</x:f>
        <x:v>2</x:v>
      </x:c>
      <x:c r="E7" s="66" t="n">
        <x:f>'21_HOPE_Decode'!$E$3/'02_HW'!$C$11+0*($A$7)+0*('01_Inputs'!$C$5)</x:f>
        <x:v>94.00244140625</x:v>
      </x:c>
      <x:c r="F7" s="66" t="n">
        <x:f>B7/C7+0*('01_Inputs'!$C$5)</x:f>
        <x:v>0.05421921351800502</x:v>
      </x:c>
      <x:c r="G7" s="21"/>
      <x:c r="H7" s="21" t="n">
        <x:f>(MAX((((1+0*'01_Inputs'!$C$5))*((2*((('01_Inputs'!$C$5)*('01_Inputs'!$C$8)))*('01_Inputs'!$C$10)*(((('01_Inputs'!$C$12)*('01_Inputs'!$C$11)))+2*((('01_Inputs'!$C$13)*('01_Inputs'!$C$11))))))/(('01_Inputs'!$C$31)*('02_HW'!$C$6))*('02_HW'!$C$10)),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)+((1+0*'01_Inputs'!$C$5))*('02_HW'!$C$9)*('02_HW'!$C$10))</x:f>
        <x:v>0.06025399402985075</x:v>
      </x:c>
      <x:c r="I7" s="21" t="n">
        <x:f>(MAX((((1+0*'01_Inputs'!$C$5))*((0*'01_Inputs'!$C$5))/(('01_Inputs'!$C$31)*('02_HW'!$C$6))*('02_HW'!$C$10)),(((1+0*'01_Inputs'!$C$5))*(((0*'01_Inputs'!$C$5))+((2*((('01_Inputs'!$C$5)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J7" s="21" t="n">
        <x:f>(MAX((((1+0*'01_Inputs'!$C$5))*((0*'01_Inputs'!$C$5))/(('01_Inputs'!$C$31)*('02_HW'!$C$6))*('02_HW'!$C$10)),(((1+0*'01_Inputs'!$C$5))*(((((('01_Inputs'!$C$5)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K7" s="21" t="n">
        <x:f>(MAX((((1+0*'01_Inputs'!$C$5))*((4*((('01_Inputs'!$C$5)*('01_Inputs'!$C$12)*('01_Inputs'!$C$8)*($A$7)))*('01_Inputs'!$C$11)+('01_Inputs'!$C$22)*((('01_Inputs'!$C$5)*('01_Inputs'!$C$12)*('01_Inputs'!$C$8)*($A$7)))))/(('01_Inputs'!$C$31)*('02_HW'!$C$6))*('02_HW'!$C$10)),(((1+0*'01_Inputs'!$C$5))*(((2*('01_Inputs'!$C$5)*($A$7)*((('01_Inputs'!$C$13)*('01_Inputs'!$C$11)))*('01_Inputs'!$C$16)*('01_Inputs'!$C$21)))+((IF(((INT((($A$7)+('01_Inputs'!$C$20)-1)/('01_Inputs'!$C$20))))=1,(((('01_Inputs'!$C$5)*('01_Inputs'!$C$8)))*((('01_Inputs'!$C$12)*('01_Inputs'!$C$11)))*('01_Inputs'!$C$14)),0)))+((IF(((INT((($A$7)+('01_Inputs'!$C$20)-1)/('01_Inputs'!$C$20))))=1,0,('01_Inputs'!$C$5)*('01_Inputs'!$C$8)*('01_Inputs'!$C$12)*((INT((($A$7)+('01_Inputs'!$C$20)-1)/('01_Inputs'!$C$20))))*(('01_Inputs'!$C$11)*('01_Inputs'!$C$17)+('01_Inputs'!$C$18))))))/(('01_Inputs'!$C$32)*('02_HW'!$C$7))*('02_HW'!$C$10)))+((1+0*'01_Inputs'!$C$5))*('02_HW'!$C$9)*('02_HW'!$C$10))</x:f>
        <x:v>0.6416708011940299</x:v>
      </x:c>
      <x:c r="L7" s="21" t="n">
        <x:f>(MAX((((IF(((INT((($A$7)+('01_Inputs'!$C$20)-1)/('01_Inputs'!$C$20))))&gt;1,1,0)+0*'01_Inputs'!$C$5))*((0*'01_Inputs'!$C$5))/(('01_Inputs'!$C$31)*('02_HW'!$C$6))*('02_HW'!$C$10)),(((IF(((INT((($A$7)+('01_Inputs'!$C$20)-1)/('01_Inputs'!$C$20))))&gt;1,1,0)+0*'01_Inputs'!$C$5))*(((IF(((INT((($A$7)+('01_Inputs'!$C$20)-1)/('01_Inputs'!$C$20))))=1,0,('01_Inputs'!$C$5)*('01_Inputs'!$C$8)*('01_Inputs'!$C$12)*((INT((($A$7)+('01_Inputs'!$C$20)-1)/('01_Inputs'!$C$20))))*(('01_Inputs'!$C$11)*('01_Inputs'!$C$17)+('01_Inputs'!$C$18)))))+((((('01_Inputs'!$C$5)*('01_Inputs'!$C$8)))*((('01_Inputs'!$C$12)*('01_Inputs'!$C$11)))*('01_Inputs'!$C$14)))+((0*'01_Inputs'!$C$5)))/(('01_Inputs'!$C$32)*('02_HW'!$C$7))*('02_HW'!$C$10)))+((IF(((INT((($A$7)+('01_Inputs'!$C$20)-1)/('01_Inputs'!$C$20))))&gt;1,1,0)+0*'01_Inputs'!$C$5))*('02_HW'!$C$9)*('02_HW'!$C$10))</x:f>
        <x:v>0.0007091582089552239</x:v>
      </x:c>
      <x:c r="M7" s="21" t="n">
        <x:f>(MAX((((1+0*'01_Inputs'!$C$5))*((2*((('01_Inputs'!$C$5)*('01_Inputs'!$C$8)))*((('01_Inputs'!$C$12)*('01_Inputs'!$C$11)))*('01_Inputs'!$C$10)))/(('01_Inputs'!$C$31)*('02_HW'!$C$6))*('02_HW'!$C$10)),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N7" s="21" t="n">
        <x:f>(MAX((((1+0*'01_Inputs'!$C$5))*((2*((('01_Inputs'!$C$5)*('01_Inputs'!$C$8)))*('01_Inputs'!$C$10)*('01_Inputs'!$C$23)+('01_Inputs'!$C$27)*((('01_Inputs'!$C$5)*('01_Inputs'!$C$8)))*('01_Inputs'!$C$23)))/(('01_Inputs'!$C$31)*('02_HW'!$C$6))*('02_HW'!$C$10)),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)+((1+0*'01_Inputs'!$C$5))*('02_HW'!$C$9)*('02_HW'!$C$10))</x:f>
        <x:v>0.0003913361194029851</x:v>
      </x:c>
      <x:c r="O7" s="21" t="n">
        <x:f>(MAX((((1+0*'01_Inputs'!$C$5))*((0*'01_Inputs'!$C$5))/(('01_Inputs'!$C$31)*('02_HW'!$C$6))*('02_HW'!$C$10)),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)+((1+0*'01_Inputs'!$C$5))*('02_HW'!$C$9)*('02_HW'!$C$10))</x:f>
        <x:v>0.0001565802985074627</x:v>
      </x:c>
      <x:c r="P7" s="21" t="n">
        <x:f>(MAX((((1+0*'01_Inputs'!$C$5))*((2*((('01_Inputs'!$C$5)*('01_Inputs'!$C$8)))*('01_Inputs'!$C$24)*('01_Inputs'!$C$10)*('01_Inputs'!$C$25)))/(('01_Inputs'!$C$31)*('02_HW'!$C$6))*('02_HW'!$C$10)),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Q7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7" s="21" t="n">
        <x:f>(MAX((((1+0*'01_Inputs'!$C$5))*((((('01_Inputs'!$C$5)*('01_Inputs'!$C$8)))*('01_Inputs'!$C$24)*('01_Inputs'!$C$25)*('01_Inputs'!$C$33)))/(('01_Inputs'!$C$31)*('02_HW'!$C$6))*('02_HW'!$C$10)),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0.00046951164179104477</x:v>
      </x:c>
      <x:c r="S7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)+((1+0*'01_Inputs'!$C$5))*('02_HW'!$C$9)*('02_HW'!$C$10))</x:f>
        <x:v>1.1385337792384582</x:v>
      </x:c>
      <x:c r="T7" s="21" t="n">
        <x:f>(MAX((((1+0*'01_Inputs'!$C$5))*((0*'01_Inputs'!$C$5))/(('01_Inputs'!$C$31)*('02_HW'!$C$6))*('02_HW'!$C$10)),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)+((1+0*'01_Inputs'!$C$5))*('02_HW'!$C$9)*('02_HW'!$C$10))</x:f>
        <x:v>0.0001565038805970149</x:v>
      </x:c>
    </x:row>
    <x:row r="8">
      <x:c r="A8" s="83" t="n">
        <x:f>'01_Inputs'!$D$64+0*('01_Inputs'!$C$5)</x:f>
        <x:v>16384</x:v>
      </x:c>
      <x:c r="B8" s="66" t="n">
        <x:f>SUM(H8:T8)+0*('01_Inputs'!$C$5)</x:f>
        <x:v>6.06673810189448</x:v>
      </x:c>
      <x:c r="C8" s="66" t="n">
        <x:f>'21_HOPE_Decode'!$B$8+0*($A$8)+0*('01_Inputs'!$C$5)</x:f>
        <x:v>76.35361546016657</x:v>
      </x:c>
      <x:c r="D8" s="66" t="n">
        <x:f>(2*('01_Inputs'!$C$5)*($A$8)*('01_Inputs'!$C$13)*('01_Inputs'!$C$11)*('01_Inputs'!$C$16))/'02_HW'!$C$11</x:f>
        <x:v>8</x:v>
      </x:c>
      <x:c r="E8" s="66" t="n">
        <x:f>'21_HOPE_Decode'!$E$3/'02_HW'!$C$11+0*($A$8)+0*('01_Inputs'!$C$5)</x:f>
        <x:v>94.00244140625</x:v>
      </x:c>
      <x:c r="F8" s="66" t="n">
        <x:f>B8/C8+0*('01_Inputs'!$C$5)</x:f>
        <x:v>0.07945580658272139</x:v>
      </x:c>
      <x:c r="G8" s="21"/>
      <x:c r="H8" s="21" t="n">
        <x:f>(MAX((((1+0*'01_Inputs'!$C$5))*((2*((('01_Inputs'!$C$5)*('01_Inputs'!$C$8)))*('01_Inputs'!$C$10)*(((('01_Inputs'!$C$12)*('01_Inputs'!$C$11)))+2*((('01_Inputs'!$C$13)*('01_Inputs'!$C$11))))))/(('01_Inputs'!$C$31)*('02_HW'!$C$6))*('02_HW'!$C$10)),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)+((1+0*'01_Inputs'!$C$5))*('02_HW'!$C$9)*('02_HW'!$C$10))</x:f>
        <x:v>0.06025399402985075</x:v>
      </x:c>
      <x:c r="I8" s="21" t="n">
        <x:f>(MAX((((1+0*'01_Inputs'!$C$5))*((0*'01_Inputs'!$C$5))/(('01_Inputs'!$C$31)*('02_HW'!$C$6))*('02_HW'!$C$10)),(((1+0*'01_Inputs'!$C$5))*(((0*'01_Inputs'!$C$5))+((2*((('01_Inputs'!$C$5)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J8" s="21" t="n">
        <x:f>(MAX((((1+0*'01_Inputs'!$C$5))*((0*'01_Inputs'!$C$5))/(('01_Inputs'!$C$31)*('02_HW'!$C$6))*('02_HW'!$C$10)),(((1+0*'01_Inputs'!$C$5))*(((((('01_Inputs'!$C$5)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K8" s="21" t="n">
        <x:f>(MAX((((1+0*'01_Inputs'!$C$5))*((4*((('01_Inputs'!$C$5)*('01_Inputs'!$C$12)*('01_Inputs'!$C$8)*($A$8)))*('01_Inputs'!$C$11)+('01_Inputs'!$C$22)*((('01_Inputs'!$C$5)*('01_Inputs'!$C$12)*('01_Inputs'!$C$8)*($A$8)))))/(('01_Inputs'!$C$31)*('02_HW'!$C$6))*('02_HW'!$C$10)),(((1+0*'01_Inputs'!$C$5))*(((2*('01_Inputs'!$C$5)*($A$8)*((('01_Inputs'!$C$13)*('01_Inputs'!$C$11)))*('01_Inputs'!$C$16)*('01_Inputs'!$C$21)))+((IF(((INT((($A$8)+('01_Inputs'!$C$20)-1)/('01_Inputs'!$C$20))))=1,(((('01_Inputs'!$C$5)*('01_Inputs'!$C$8)))*((('01_Inputs'!$C$12)*('01_Inputs'!$C$11)))*('01_Inputs'!$C$14)),0)))+((IF(((INT((($A$8)+('01_Inputs'!$C$20)-1)/('01_Inputs'!$C$20))))=1,0,('01_Inputs'!$C$5)*('01_Inputs'!$C$8)*('01_Inputs'!$C$12)*((INT((($A$8)+('01_Inputs'!$C$20)-1)/('01_Inputs'!$C$20))))*(('01_Inputs'!$C$11)*('01_Inputs'!$C$17)+('01_Inputs'!$C$18))))))/(('01_Inputs'!$C$32)*('02_HW'!$C$7))*('02_HW'!$C$10)))+((1+0*'01_Inputs'!$C$5))*('02_HW'!$C$9)*('02_HW'!$C$10))</x:f>
        <x:v>2.5666832047761194</x:v>
      </x:c>
      <x:c r="L8" s="21" t="n">
        <x:f>(MAX((((IF(((INT((($A$8)+('01_Inputs'!$C$20)-1)/('01_Inputs'!$C$20))))&gt;1,1,0)+0*'01_Inputs'!$C$5))*((0*'01_Inputs'!$C$5))/(('01_Inputs'!$C$31)*('02_HW'!$C$6))*('02_HW'!$C$10)),(((IF(((INT((($A$8)+('01_Inputs'!$C$20)-1)/('01_Inputs'!$C$20))))&gt;1,1,0)+0*'01_Inputs'!$C$5))*(((IF(((INT((($A$8)+('01_Inputs'!$C$20)-1)/('01_Inputs'!$C$20))))=1,0,('01_Inputs'!$C$5)*('01_Inputs'!$C$8)*('01_Inputs'!$C$12)*((INT((($A$8)+('01_Inputs'!$C$20)-1)/('01_Inputs'!$C$20))))*(('01_Inputs'!$C$11)*('01_Inputs'!$C$17)+('01_Inputs'!$C$18)))))+((((('01_Inputs'!$C$5)*('01_Inputs'!$C$8)))*((('01_Inputs'!$C$12)*('01_Inputs'!$C$11)))*('01_Inputs'!$C$14)))+((0*'01_Inputs'!$C$5)))/(('01_Inputs'!$C$32)*('02_HW'!$C$7))*('02_HW'!$C$10)))+((IF(((INT((($A$8)+('01_Inputs'!$C$20)-1)/('01_Inputs'!$C$20))))&gt;1,1,0)+0*'01_Inputs'!$C$5))*('02_HW'!$C$9)*('02_HW'!$C$10))</x:f>
        <x:v>0.0026018770149253733</x:v>
      </x:c>
      <x:c r="M8" s="21" t="n">
        <x:f>(MAX((((1+0*'01_Inputs'!$C$5))*((2*((('01_Inputs'!$C$5)*('01_Inputs'!$C$8)))*((('01_Inputs'!$C$12)*('01_Inputs'!$C$11)))*('01_Inputs'!$C$10)))/(('01_Inputs'!$C$31)*('02_HW'!$C$6))*('02_HW'!$C$10)),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N8" s="21" t="n">
        <x:f>(MAX((((1+0*'01_Inputs'!$C$5))*((2*((('01_Inputs'!$C$5)*('01_Inputs'!$C$8)))*('01_Inputs'!$C$10)*('01_Inputs'!$C$23)+('01_Inputs'!$C$27)*((('01_Inputs'!$C$5)*('01_Inputs'!$C$8)))*('01_Inputs'!$C$23)))/(('01_Inputs'!$C$31)*('02_HW'!$C$6))*('02_HW'!$C$10)),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)+((1+0*'01_Inputs'!$C$5))*('02_HW'!$C$9)*('02_HW'!$C$10))</x:f>
        <x:v>0.0003913361194029851</x:v>
      </x:c>
      <x:c r="O8" s="21" t="n">
        <x:f>(MAX((((1+0*'01_Inputs'!$C$5))*((0*'01_Inputs'!$C$5))/(('01_Inputs'!$C$31)*('02_HW'!$C$6))*('02_HW'!$C$10)),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)+((1+0*'01_Inputs'!$C$5))*('02_HW'!$C$9)*('02_HW'!$C$10))</x:f>
        <x:v>0.0001565802985074627</x:v>
      </x:c>
      <x:c r="P8" s="21" t="n">
        <x:f>(MAX((((1+0*'01_Inputs'!$C$5))*((2*((('01_Inputs'!$C$5)*('01_Inputs'!$C$8)))*('01_Inputs'!$C$24)*('01_Inputs'!$C$10)*('01_Inputs'!$C$25)))/(('01_Inputs'!$C$31)*('02_HW'!$C$6))*('02_HW'!$C$10)),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Q8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8" s="21" t="n">
        <x:f>(MAX((((1+0*'01_Inputs'!$C$5))*((((('01_Inputs'!$C$5)*('01_Inputs'!$C$8)))*('01_Inputs'!$C$24)*('01_Inputs'!$C$25)*('01_Inputs'!$C$33)))/(('01_Inputs'!$C$31)*('02_HW'!$C$6))*('02_HW'!$C$10)),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0.00046951164179104477</x:v>
      </x:c>
      <x:c r="S8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)+((1+0*'01_Inputs'!$C$5))*('02_HW'!$C$9)*('02_HW'!$C$10))</x:f>
        <x:v>1.1385337792384582</x:v>
      </x:c>
      <x:c r="T8" s="21" t="n">
        <x:f>(MAX((((1+0*'01_Inputs'!$C$5))*((0*'01_Inputs'!$C$5))/(('01_Inputs'!$C$31)*('02_HW'!$C$6))*('02_HW'!$C$10)),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)+((1+0*'01_Inputs'!$C$5))*('02_HW'!$C$9)*('02_HW'!$C$10))</x:f>
        <x:v>0.0001565038805970149</x:v>
      </x:c>
    </x:row>
    <x:row r="9">
      <x:c r="A9" s="83" t="n">
        <x:f>'01_Inputs'!$E$64+0*('01_Inputs'!$C$5)</x:f>
        <x:v>65536</x:v>
      </x:c>
      <x:c r="B9" s="66" t="n">
        <x:f>SUM(H9:T9)+0*('01_Inputs'!$C$5)</x:f>
        <x:v>13.774358591446713</x:v>
      </x:c>
      <x:c r="C9" s="66" t="n">
        <x:f>'21_HOPE_Decode'!$B$8+0*($A$9)+0*('01_Inputs'!$C$5)</x:f>
        <x:v>76.35361546016657</x:v>
      </x:c>
      <x:c r="D9" s="66" t="n">
        <x:f>(2*('01_Inputs'!$C$5)*($A$9)*('01_Inputs'!$C$13)*('01_Inputs'!$C$11)*('01_Inputs'!$C$16))/'02_HW'!$C$11</x:f>
        <x:v>32</x:v>
      </x:c>
      <x:c r="E9" s="66" t="n">
        <x:f>'21_HOPE_Decode'!$E$3/'02_HW'!$C$11+0*($A$9)+0*('01_Inputs'!$C$5)</x:f>
        <x:v>94.00244140625</x:v>
      </x:c>
      <x:c r="F9" s="66" t="n">
        <x:f>B9/C9+0*('01_Inputs'!$C$5)</x:f>
        <x:v>0.18040217884158677</x:v>
      </x:c>
      <x:c r="G9" s="21"/>
      <x:c r="H9" s="21" t="n">
        <x:f>(MAX((((1+0*'01_Inputs'!$C$5))*((2*((('01_Inputs'!$C$5)*('01_Inputs'!$C$8)))*('01_Inputs'!$C$10)*(((('01_Inputs'!$C$12)*('01_Inputs'!$C$11)))+2*((('01_Inputs'!$C$13)*('01_Inputs'!$C$11))))))/(('01_Inputs'!$C$31)*('02_HW'!$C$6))*('02_HW'!$C$10)),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)+((1+0*'01_Inputs'!$C$5))*('02_HW'!$C$9)*('02_HW'!$C$10))</x:f>
        <x:v>0.06025399402985075</x:v>
      </x:c>
      <x:c r="I9" s="21" t="n">
        <x:f>(MAX((((1+0*'01_Inputs'!$C$5))*((0*'01_Inputs'!$C$5))/(('01_Inputs'!$C$31)*('02_HW'!$C$6))*('02_HW'!$C$10)),(((1+0*'01_Inputs'!$C$5))*(((0*'01_Inputs'!$C$5))+((2*((('01_Inputs'!$C$5)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J9" s="21" t="n">
        <x:f>(MAX((((1+0*'01_Inputs'!$C$5))*((0*'01_Inputs'!$C$5))/(('01_Inputs'!$C$31)*('02_HW'!$C$6))*('02_HW'!$C$10)),(((1+0*'01_Inputs'!$C$5))*(((((('01_Inputs'!$C$5)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K9" s="21" t="n">
        <x:f>(MAX((((1+0*'01_Inputs'!$C$5))*((4*((('01_Inputs'!$C$5)*('01_Inputs'!$C$12)*('01_Inputs'!$C$8)*($A$9)))*('01_Inputs'!$C$11)+('01_Inputs'!$C$22)*((('01_Inputs'!$C$5)*('01_Inputs'!$C$12)*('01_Inputs'!$C$8)*($A$9)))))/(('01_Inputs'!$C$31)*('02_HW'!$C$6))*('02_HW'!$C$10)),(((1+0*'01_Inputs'!$C$5))*(((2*('01_Inputs'!$C$5)*($A$9)*((('01_Inputs'!$C$13)*('01_Inputs'!$C$11)))*('01_Inputs'!$C$16)*('01_Inputs'!$C$21)))+((IF(((INT((($A$9)+('01_Inputs'!$C$20)-1)/('01_Inputs'!$C$20))))=1,(((('01_Inputs'!$C$5)*('01_Inputs'!$C$8)))*((('01_Inputs'!$C$12)*('01_Inputs'!$C$11)))*('01_Inputs'!$C$14)),0)))+((IF(((INT((($A$9)+('01_Inputs'!$C$20)-1)/('01_Inputs'!$C$20))))=1,0,('01_Inputs'!$C$5)*('01_Inputs'!$C$8)*('01_Inputs'!$C$12)*((INT((($A$9)+('01_Inputs'!$C$20)-1)/('01_Inputs'!$C$20))))*(('01_Inputs'!$C$11)*('01_Inputs'!$C$17)+('01_Inputs'!$C$18))))))/(('01_Inputs'!$C$32)*('02_HW'!$C$7))*('02_HW'!$C$10)))+((1+0*'01_Inputs'!$C$5))*('02_HW'!$C$9)*('02_HW'!$C$10))</x:f>
        <x:v>10.266732819104478</x:v>
      </x:c>
      <x:c r="L9" s="21" t="n">
        <x:f>(MAX((((IF(((INT((($A$9)+('01_Inputs'!$C$20)-1)/('01_Inputs'!$C$20))))&gt;1,1,0)+0*'01_Inputs'!$C$5))*((0*'01_Inputs'!$C$5))/(('01_Inputs'!$C$31)*('02_HW'!$C$6))*('02_HW'!$C$10)),(((IF(((INT((($A$9)+('01_Inputs'!$C$20)-1)/('01_Inputs'!$C$20))))&gt;1,1,0)+0*'01_Inputs'!$C$5))*(((IF(((INT((($A$9)+('01_Inputs'!$C$20)-1)/('01_Inputs'!$C$20))))=1,0,('01_Inputs'!$C$5)*('01_Inputs'!$C$8)*('01_Inputs'!$C$12)*((INT((($A$9)+('01_Inputs'!$C$20)-1)/('01_Inputs'!$C$20))))*(('01_Inputs'!$C$11)*('01_Inputs'!$C$17)+('01_Inputs'!$C$18)))))+((((('01_Inputs'!$C$5)*('01_Inputs'!$C$8)))*((('01_Inputs'!$C$12)*('01_Inputs'!$C$11)))*('01_Inputs'!$C$14)))+((0*'01_Inputs'!$C$5)))/(('01_Inputs'!$C$32)*('02_HW'!$C$7))*('02_HW'!$C$10)))+((IF(((INT((($A$9)+('01_Inputs'!$C$20)-1)/('01_Inputs'!$C$20))))&gt;1,1,0)+0*'01_Inputs'!$C$5))*('02_HW'!$C$9)*('02_HW'!$C$10))</x:f>
        <x:v>0.01017275223880597</x:v>
      </x:c>
      <x:c r="M9" s="21" t="n">
        <x:f>(MAX((((1+0*'01_Inputs'!$C$5))*((2*((('01_Inputs'!$C$5)*('01_Inputs'!$C$8)))*((('01_Inputs'!$C$12)*('01_Inputs'!$C$11)))*('01_Inputs'!$C$10)))/(('01_Inputs'!$C$31)*('02_HW'!$C$6))*('02_HW'!$C$10)),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N9" s="21" t="n">
        <x:f>(MAX((((1+0*'01_Inputs'!$C$5))*((2*((('01_Inputs'!$C$5)*('01_Inputs'!$C$8)))*('01_Inputs'!$C$10)*('01_Inputs'!$C$23)+('01_Inputs'!$C$27)*((('01_Inputs'!$C$5)*('01_Inputs'!$C$8)))*('01_Inputs'!$C$23)))/(('01_Inputs'!$C$31)*('02_HW'!$C$6))*('02_HW'!$C$10)),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)+((1+0*'01_Inputs'!$C$5))*('02_HW'!$C$9)*('02_HW'!$C$10))</x:f>
        <x:v>0.0003913361194029851</x:v>
      </x:c>
      <x:c r="O9" s="21" t="n">
        <x:f>(MAX((((1+0*'01_Inputs'!$C$5))*((0*'01_Inputs'!$C$5))/(('01_Inputs'!$C$31)*('02_HW'!$C$6))*('02_HW'!$C$10)),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)+((1+0*'01_Inputs'!$C$5))*('02_HW'!$C$9)*('02_HW'!$C$10))</x:f>
        <x:v>0.0001565802985074627</x:v>
      </x:c>
      <x:c r="P9" s="21" t="n">
        <x:f>(MAX((((1+0*'01_Inputs'!$C$5))*((2*((('01_Inputs'!$C$5)*('01_Inputs'!$C$8)))*('01_Inputs'!$C$24)*('01_Inputs'!$C$10)*('01_Inputs'!$C$25)))/(('01_Inputs'!$C$31)*('02_HW'!$C$6))*('02_HW'!$C$10)),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Q9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9" s="21" t="n">
        <x:f>(MAX((((1+0*'01_Inputs'!$C$5))*((((('01_Inputs'!$C$5)*('01_Inputs'!$C$8)))*('01_Inputs'!$C$24)*('01_Inputs'!$C$25)*('01_Inputs'!$C$33)))/(('01_Inputs'!$C$31)*('02_HW'!$C$6))*('02_HW'!$C$10)),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0.00046951164179104477</x:v>
      </x:c>
      <x:c r="S9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)+((1+0*'01_Inputs'!$C$5))*('02_HW'!$C$9)*('02_HW'!$C$10))</x:f>
        <x:v>1.1385337792384582</x:v>
      </x:c>
      <x:c r="T9" s="21" t="n">
        <x:f>(MAX((((1+0*'01_Inputs'!$C$5))*((0*'01_Inputs'!$C$5))/(('01_Inputs'!$C$31)*('02_HW'!$C$6))*('02_HW'!$C$10)),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)+((1+0*'01_Inputs'!$C$5))*('02_HW'!$C$9)*('02_HW'!$C$10))</x:f>
        <x:v>0.0001565038805970149</x:v>
      </x:c>
    </x:row>
    <x:row r="10">
      <x:c r="A10" s="83" t="n">
        <x:f>'01_Inputs'!$F$64+0*('01_Inputs'!$C$5)</x:f>
        <x:v>131072</x:v>
      </x:c>
      <x:c r="B10" s="66" t="n">
        <x:f>SUM(H10:T10)+0*('01_Inputs'!$C$5)</x:f>
        <x:v>24.051185910849703</x:v>
      </x:c>
      <x:c r="C10" s="66" t="n">
        <x:f>'21_HOPE_Decode'!$B$8+0*($A$10)+0*('01_Inputs'!$C$5)</x:f>
        <x:v>76.35361546016657</x:v>
      </x:c>
      <x:c r="D10" s="66" t="n">
        <x:f>(2*('01_Inputs'!$C$5)*($A$10)*('01_Inputs'!$C$13)*('01_Inputs'!$C$11)*('01_Inputs'!$C$16))/'02_HW'!$C$11</x:f>
        <x:v>64</x:v>
      </x:c>
      <x:c r="E10" s="66" t="n">
        <x:f>'21_HOPE_Decode'!$E$3/'02_HW'!$C$11+0*($A$10)+0*('01_Inputs'!$C$5)</x:f>
        <x:v>94.00244140625</x:v>
      </x:c>
      <x:c r="F10" s="66" t="n">
        <x:f>B10/C10+0*('01_Inputs'!$C$5)</x:f>
        <x:v>0.31499734185340744</x:v>
      </x:c>
      <x:c r="G10" s="21"/>
      <x:c r="H10" s="21" t="n">
        <x:f>(MAX((((1+0*'01_Inputs'!$C$5))*((2*((('01_Inputs'!$C$5)*('01_Inputs'!$C$8)))*('01_Inputs'!$C$10)*(((('01_Inputs'!$C$12)*('01_Inputs'!$C$11)))+2*((('01_Inputs'!$C$13)*('01_Inputs'!$C$11))))))/(('01_Inputs'!$C$31)*('02_HW'!$C$6))*('02_HW'!$C$10)),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)+((1+0*'01_Inputs'!$C$5))*('02_HW'!$C$9)*('02_HW'!$C$10))</x:f>
        <x:v>0.06025399402985075</x:v>
      </x:c>
      <x:c r="I10" s="21" t="n">
        <x:f>(MAX((((1+0*'01_Inputs'!$C$5))*((0*'01_Inputs'!$C$5))/(('01_Inputs'!$C$31)*('02_HW'!$C$6))*('02_HW'!$C$10)),(((1+0*'01_Inputs'!$C$5))*(((0*'01_Inputs'!$C$5))+((2*((('01_Inputs'!$C$5)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J10" s="21" t="n">
        <x:f>(MAX((((1+0*'01_Inputs'!$C$5))*((0*'01_Inputs'!$C$5))/(('01_Inputs'!$C$31)*('02_HW'!$C$6))*('02_HW'!$C$10)),(((1+0*'01_Inputs'!$C$5))*(((((('01_Inputs'!$C$5)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K10" s="21" t="n">
        <x:f>(MAX((((1+0*'01_Inputs'!$C$5))*((4*((('01_Inputs'!$C$5)*('01_Inputs'!$C$12)*('01_Inputs'!$C$8)*($A$10)))*('01_Inputs'!$C$11)+('01_Inputs'!$C$22)*((('01_Inputs'!$C$5)*('01_Inputs'!$C$12)*('01_Inputs'!$C$8)*($A$10)))))/(('01_Inputs'!$C$31)*('02_HW'!$C$6))*('02_HW'!$C$10)),(((1+0*'01_Inputs'!$C$5))*(((2*('01_Inputs'!$C$5)*($A$10)*((('01_Inputs'!$C$13)*('01_Inputs'!$C$11)))*('01_Inputs'!$C$16)*('01_Inputs'!$C$21)))+((IF(((INT((($A$10)+('01_Inputs'!$C$20)-1)/('01_Inputs'!$C$20))))=1,(((('01_Inputs'!$C$5)*('01_Inputs'!$C$8)))*((('01_Inputs'!$C$12)*('01_Inputs'!$C$11)))*('01_Inputs'!$C$14)),0)))+((IF(((INT((($A$10)+('01_Inputs'!$C$20)-1)/('01_Inputs'!$C$20))))=1,0,('01_Inputs'!$C$5)*('01_Inputs'!$C$8)*('01_Inputs'!$C$12)*((INT((($A$10)+('01_Inputs'!$C$20)-1)/('01_Inputs'!$C$20))))*(('01_Inputs'!$C$11)*('01_Inputs'!$C$17)+('01_Inputs'!$C$18))))))/(('01_Inputs'!$C$32)*('02_HW'!$C$7))*('02_HW'!$C$10)))+((1+0*'01_Inputs'!$C$5))*('02_HW'!$C$9)*('02_HW'!$C$10))</x:f>
        <x:v>20.533465638208956</x:v>
      </x:c>
      <x:c r="L10" s="21" t="n">
        <x:f>(MAX((((IF(((INT((($A$10)+('01_Inputs'!$C$20)-1)/('01_Inputs'!$C$20))))&gt;1,1,0)+0*'01_Inputs'!$C$5))*((0*'01_Inputs'!$C$5))/(('01_Inputs'!$C$31)*('02_HW'!$C$6))*('02_HW'!$C$10)),(((IF(((INT((($A$10)+('01_Inputs'!$C$20)-1)/('01_Inputs'!$C$20))))&gt;1,1,0)+0*'01_Inputs'!$C$5))*(((IF(((INT((($A$10)+('01_Inputs'!$C$20)-1)/('01_Inputs'!$C$20))))=1,0,('01_Inputs'!$C$5)*('01_Inputs'!$C$8)*('01_Inputs'!$C$12)*((INT((($A$10)+('01_Inputs'!$C$20)-1)/('01_Inputs'!$C$20))))*(('01_Inputs'!$C$11)*('01_Inputs'!$C$17)+('01_Inputs'!$C$18)))))+((((('01_Inputs'!$C$5)*('01_Inputs'!$C$8)))*((('01_Inputs'!$C$12)*('01_Inputs'!$C$11)))*('01_Inputs'!$C$14)))+((0*'01_Inputs'!$C$5)))/(('01_Inputs'!$C$32)*('02_HW'!$C$7))*('02_HW'!$C$10)))+((IF(((INT((($A$10)+('01_Inputs'!$C$20)-1)/('01_Inputs'!$C$20))))&gt;1,1,0)+0*'01_Inputs'!$C$5))*('02_HW'!$C$9)*('02_HW'!$C$10))</x:f>
        <x:v>0.020267252537313433</x:v>
      </x:c>
      <x:c r="M10" s="21" t="n">
        <x:f>(MAX((((1+0*'01_Inputs'!$C$5))*((2*((('01_Inputs'!$C$5)*('01_Inputs'!$C$8)))*((('01_Inputs'!$C$12)*('01_Inputs'!$C$11)))*('01_Inputs'!$C$10)))/(('01_Inputs'!$C$31)*('02_HW'!$C$6))*('02_HW'!$C$10)),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N10" s="21" t="n">
        <x:f>(MAX((((1+0*'01_Inputs'!$C$5))*((2*((('01_Inputs'!$C$5)*('01_Inputs'!$C$8)))*('01_Inputs'!$C$10)*('01_Inputs'!$C$23)+('01_Inputs'!$C$27)*((('01_Inputs'!$C$5)*('01_Inputs'!$C$8)))*('01_Inputs'!$C$23)))/(('01_Inputs'!$C$31)*('02_HW'!$C$6))*('02_HW'!$C$10)),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)+((1+0*'01_Inputs'!$C$5))*('02_HW'!$C$9)*('02_HW'!$C$10))</x:f>
        <x:v>0.0003913361194029851</x:v>
      </x:c>
      <x:c r="O10" s="21" t="n">
        <x:f>(MAX((((1+0*'01_Inputs'!$C$5))*((0*'01_Inputs'!$C$5))/(('01_Inputs'!$C$31)*('02_HW'!$C$6))*('02_HW'!$C$10)),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)+((1+0*'01_Inputs'!$C$5))*('02_HW'!$C$9)*('02_HW'!$C$10))</x:f>
        <x:v>0.0001565802985074627</x:v>
      </x:c>
      <x:c r="P10" s="21" t="n">
        <x:f>(MAX((((1+0*'01_Inputs'!$C$5))*((2*((('01_Inputs'!$C$5)*('01_Inputs'!$C$8)))*('01_Inputs'!$C$24)*('01_Inputs'!$C$10)*('01_Inputs'!$C$25)))/(('01_Inputs'!$C$31)*('02_HW'!$C$6))*('02_HW'!$C$10)),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Q10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10" s="21" t="n">
        <x:f>(MAX((((1+0*'01_Inputs'!$C$5))*((((('01_Inputs'!$C$5)*('01_Inputs'!$C$8)))*('01_Inputs'!$C$24)*('01_Inputs'!$C$25)*('01_Inputs'!$C$33)))/(('01_Inputs'!$C$31)*('02_HW'!$C$6))*('02_HW'!$C$10)),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0.00046951164179104477</x:v>
      </x:c>
      <x:c r="S10" s="21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)+((1+0*'01_Inputs'!$C$5))*('02_HW'!$C$9)*('02_HW'!$C$10))</x:f>
        <x:v>1.1385337792384582</x:v>
      </x:c>
      <x:c r="T10" s="21" t="n">
        <x:f>(MAX((((1+0*'01_Inputs'!$C$5))*((0*'01_Inputs'!$C$5))/(('01_Inputs'!$C$31)*('02_HW'!$C$6))*('02_HW'!$C$10)),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)+((1+0*'01_Inputs'!$C$5))*('02_HW'!$C$9)*('02_HW'!$C$10))</x:f>
        <x:v>0.0001565038805970149</x:v>
      </x:c>
    </x:row>
    <x:row r="11">
      <x:c r="A11" s="84" t="n">
        <x:f>'01_Inputs'!$G$64+0*('01_Inputs'!$C$5)</x:f>
        <x:v>262144</x:v>
      </x:c>
      <x:c r="B11" s="67" t="n">
        <x:f>SUM(H11:T11)+0*('01_Inputs'!$C$5)</x:f>
        <x:v>44.60484054965567</x:v>
      </x:c>
      <x:c r="C11" s="67" t="n">
        <x:f>'21_HOPE_Decode'!$B$8+0*($A$11)+0*('01_Inputs'!$C$5)</x:f>
        <x:v>76.35361546016657</x:v>
      </x:c>
      <x:c r="D11" s="67" t="n">
        <x:f>(2*('01_Inputs'!$C$5)*($A$11)*('01_Inputs'!$C$13)*('01_Inputs'!$C$11)*('01_Inputs'!$C$16))/'02_HW'!$C$11</x:f>
        <x:v>128</x:v>
      </x:c>
      <x:c r="E11" s="67" t="n">
        <x:f>'21_HOPE_Decode'!$E$3/'02_HW'!$C$11+0*($A$11)+0*('01_Inputs'!$C$5)</x:f>
        <x:v>94.00244140625</x:v>
      </x:c>
      <x:c r="F11" s="67" t="n">
        <x:f>B11/C11+0*('01_Inputs'!$C$5)</x:f>
        <x:v>0.5841876678770486</x:v>
      </x:c>
      <x:c r="G11" s="22"/>
      <x:c r="H11" s="22" t="n">
        <x:f>(MAX((((1+0*'01_Inputs'!$C$5))*((2*((('01_Inputs'!$C$5)*('01_Inputs'!$C$8)))*('01_Inputs'!$C$10)*(((('01_Inputs'!$C$12)*('01_Inputs'!$C$11)))+2*((('01_Inputs'!$C$13)*('01_Inputs'!$C$11))))))/(('01_Inputs'!$C$31)*('02_HW'!$C$6))*('02_HW'!$C$10)),(((1+0*'01_Inputs'!$C$5))*(((((('01_Inputs'!$C$5)*('01_Inputs'!$C$8)))*('01_Inputs'!$C$10)*('01_Inputs'!$C$14)+('01_Inputs'!$C$10)*(((('01_Inputs'!$C$12)*('01_Inputs'!$C$11)))+2*((('01_Inputs'!$C$13)*('01_Inputs'!$C$11))))*('01_Inputs'!$C$15)))+((0*'01_Inputs'!$C$5))+((((('01_Inputs'!$C$5)*('01_Inputs'!$C$8)))*((('01_Inputs'!$C$12)*('01_Inputs'!$C$11)))*('01_Inputs'!$C$14))))/(('01_Inputs'!$C$32)*('02_HW'!$C$7))*('02_HW'!$C$10)))+((1+0*'01_Inputs'!$C$5))*('02_HW'!$C$9)*('02_HW'!$C$10))</x:f>
        <x:v>0.06025399402985075</x:v>
      </x:c>
      <x:c r="I11" s="22" t="n">
        <x:f>(MAX((((1+0*'01_Inputs'!$C$5))*((0*'01_Inputs'!$C$5))/(('01_Inputs'!$C$31)*('02_HW'!$C$6))*('02_HW'!$C$10)),(((1+0*'01_Inputs'!$C$5))*(((0*'01_Inputs'!$C$5))+((2*((('01_Inputs'!$C$5)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J11" s="22" t="n">
        <x:f>(MAX((((1+0*'01_Inputs'!$C$5))*((0*'01_Inputs'!$C$5))/(('01_Inputs'!$C$31)*('02_HW'!$C$6))*('02_HW'!$C$10)),(((1+0*'01_Inputs'!$C$5))*(((((('01_Inputs'!$C$5)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K11" s="22" t="n">
        <x:f>(MAX((((1+0*'01_Inputs'!$C$5))*((4*((('01_Inputs'!$C$5)*('01_Inputs'!$C$12)*('01_Inputs'!$C$8)*($A$11)))*('01_Inputs'!$C$11)+('01_Inputs'!$C$22)*((('01_Inputs'!$C$5)*('01_Inputs'!$C$12)*('01_Inputs'!$C$8)*($A$11)))))/(('01_Inputs'!$C$31)*('02_HW'!$C$6))*('02_HW'!$C$10)),(((1+0*'01_Inputs'!$C$5))*(((2*('01_Inputs'!$C$5)*($A$11)*((('01_Inputs'!$C$13)*('01_Inputs'!$C$11)))*('01_Inputs'!$C$16)*('01_Inputs'!$C$21)))+((IF(((INT((($A$11)+('01_Inputs'!$C$20)-1)/('01_Inputs'!$C$20))))=1,(((('01_Inputs'!$C$5)*('01_Inputs'!$C$8)))*((('01_Inputs'!$C$12)*('01_Inputs'!$C$11)))*('01_Inputs'!$C$14)),0)))+((IF(((INT((($A$11)+('01_Inputs'!$C$20)-1)/('01_Inputs'!$C$20))))=1,0,('01_Inputs'!$C$5)*('01_Inputs'!$C$8)*('01_Inputs'!$C$12)*((INT((($A$11)+('01_Inputs'!$C$20)-1)/('01_Inputs'!$C$20))))*(('01_Inputs'!$C$11)*('01_Inputs'!$C$17)+('01_Inputs'!$C$18))))))/(('01_Inputs'!$C$32)*('02_HW'!$C$7))*('02_HW'!$C$10)))+((1+0*'01_Inputs'!$C$5))*('02_HW'!$C$9)*('02_HW'!$C$10))</x:f>
        <x:v>41.06693127641791</x:v>
      </x:c>
      <x:c r="L11" s="22" t="n">
        <x:f>(MAX((((IF(((INT((($A$11)+('01_Inputs'!$C$20)-1)/('01_Inputs'!$C$20))))&gt;1,1,0)+0*'01_Inputs'!$C$5))*((0*'01_Inputs'!$C$5))/(('01_Inputs'!$C$31)*('02_HW'!$C$6))*('02_HW'!$C$10)),(((IF(((INT((($A$11)+('01_Inputs'!$C$20)-1)/('01_Inputs'!$C$20))))&gt;1,1,0)+0*'01_Inputs'!$C$5))*(((IF(((INT((($A$11)+('01_Inputs'!$C$20)-1)/('01_Inputs'!$C$20))))=1,0,('01_Inputs'!$C$5)*('01_Inputs'!$C$8)*('01_Inputs'!$C$12)*((INT((($A$11)+('01_Inputs'!$C$20)-1)/('01_Inputs'!$C$20))))*(('01_Inputs'!$C$11)*('01_Inputs'!$C$17)+('01_Inputs'!$C$18)))))+((((('01_Inputs'!$C$5)*('01_Inputs'!$C$8)))*((('01_Inputs'!$C$12)*('01_Inputs'!$C$11)))*('01_Inputs'!$C$14)))+((0*'01_Inputs'!$C$5)))/(('01_Inputs'!$C$32)*('02_HW'!$C$7))*('02_HW'!$C$10)))+((IF(((INT((($A$11)+('01_Inputs'!$C$20)-1)/('01_Inputs'!$C$20))))&gt;1,1,0)+0*'01_Inputs'!$C$5))*('02_HW'!$C$9)*('02_HW'!$C$10))</x:f>
        <x:v>0.04045625313432836</x:v>
      </x:c>
      <x:c r="M11" s="22" t="n">
        <x:f>(MAX((((1+0*'01_Inputs'!$C$5))*((2*((('01_Inputs'!$C$5)*('01_Inputs'!$C$8)))*((('01_Inputs'!$C$12)*('01_Inputs'!$C$11)))*('01_Inputs'!$C$10)))/(('01_Inputs'!$C$31)*('02_HW'!$C$6))*('02_HW'!$C$10)),(((1+0*'01_Inputs'!$C$5))*(((((('01_Inputs'!$C$5)*('01_Inputs'!$C$8)))*((('01_Inputs'!$C$12)*('01_Inputs'!$C$11)))*('01_Inputs'!$C$14)+((('01_Inputs'!$C$12)*('01_Inputs'!$C$11)))*('01_Inputs'!$C$10)*('01_Inputs'!$C$15)))+((0*'01_Inputs'!$C$5))+((((('01_Inputs'!$C$5)*('01_Inputs'!$C$8)))*('01_Inputs'!$C$10)*('01_Inputs'!$C$14))))/(('01_Inputs'!$C$32)*('02_HW'!$C$7))*('02_HW'!$C$10)))+((1+0*'01_Inputs'!$C$5))*('02_HW'!$C$9)*('02_HW'!$C$10))</x:f>
        <x:v>0.020189000597014926</x:v>
      </x:c>
      <x:c r="N11" s="22" t="n">
        <x:f>(MAX((((1+0*'01_Inputs'!$C$5))*((2*((('01_Inputs'!$C$5)*('01_Inputs'!$C$8)))*('01_Inputs'!$C$10)*('01_Inputs'!$C$23)+('01_Inputs'!$C$27)*((('01_Inputs'!$C$5)*('01_Inputs'!$C$8)))*('01_Inputs'!$C$23)))/(('01_Inputs'!$C$31)*('02_HW'!$C$6))*('02_HW'!$C$10)),(((1+0*'01_Inputs'!$C$5))*(((((((('01_Inputs'!$C$5)*('01_Inputs'!$C$8)))*('01_Inputs'!$C$10)*('01_Inputs'!$C$14)))+('01_Inputs'!$C$10)*('01_Inputs'!$C$23)*('01_Inputs'!$C$15)))+((0*'01_Inputs'!$C$5))+((((('01_Inputs'!$C$5)*('01_Inputs'!$C$8)))*('01_Inputs'!$C$24)*('01_Inputs'!$C$28))))/(('01_Inputs'!$C$32)*('02_HW'!$C$7))*('02_HW'!$C$10)))+((1+0*'01_Inputs'!$C$5))*('02_HW'!$C$9)*('02_HW'!$C$10))</x:f>
        <x:v>0.0003913361194029851</x:v>
      </x:c>
      <x:c r="O11" s="22" t="n">
        <x:f>(MAX((((1+0*'01_Inputs'!$C$5))*((0*'01_Inputs'!$C$5))/(('01_Inputs'!$C$31)*('02_HW'!$C$6))*('02_HW'!$C$10)),(((1+0*'01_Inputs'!$C$5))*(((((((('01_Inputs'!$C$5)*('01_Inputs'!$C$8)))*('01_Inputs'!$C$10)*('01_Inputs'!$C$14)))+((((('01_Inputs'!$C$5)*('01_Inputs'!$C$8)))*('01_Inputs'!$C$24)*('01_Inputs'!$C$28)))))+((0*'01_Inputs'!$C$5))+((((('01_Inputs'!$C$5)*('01_Inputs'!$C$8)))*('01_Inputs'!$C$24)*('01_Inputs'!$C$10)*('01_Inputs'!$C$14))))/(('01_Inputs'!$C$32)*('02_HW'!$C$7))*('02_HW'!$C$10)))+((1+0*'01_Inputs'!$C$5))*('02_HW'!$C$9)*('02_HW'!$C$10))</x:f>
        <x:v>0.0001565802985074627</x:v>
      </x:c>
      <x:c r="P11" s="22" t="n">
        <x:f>(MAX((((1+0*'01_Inputs'!$C$5))*((2*((('01_Inputs'!$C$5)*('01_Inputs'!$C$8)))*('01_Inputs'!$C$24)*('01_Inputs'!$C$10)*('01_Inputs'!$C$25)))/(('01_Inputs'!$C$31)*('02_HW'!$C$6))*('02_HW'!$C$10)),(((1+0*'01_Inputs'!$C$5))*(((((((('01_Inputs'!$C$5)*('01_Inputs'!$C$8)))*('01_Inputs'!$C$24)*('01_Inputs'!$C$10)*('01_Inputs'!$C$14)))+((((IF(('01_Inputs'!$C$29)&gt;0,('01_Inputs'!$C$29),('01_Inputs'!$C$23)*(1-POWER(1-1/('01_Inputs'!$C$23),((('01_Inputs'!$C$5)*('01_Inputs'!$C$8)))*('01_Inputs'!$C$24))))))*('01_Inputs'!$C$10)*('01_Inputs'!$C$25)*('01_Inputs'!$C$15)*('01_Inputs'!$C$30)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Q11" s="22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$10)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1.1385337792384582</x:v>
      </x:c>
      <x:c r="R11" s="22" t="n">
        <x:f>(MAX((((1+0*'01_Inputs'!$C$5))*((((('01_Inputs'!$C$5)*('01_Inputs'!$C$8)))*('01_Inputs'!$C$24)*('01_Inputs'!$C$25)*('01_Inputs'!$C$33)))/(('01_Inputs'!$C$31)*('02_HW'!$C$6))*('02_HW'!$C$10)),(((1+0*'01_Inputs'!$C$5))*(((IF(('01_Inputs'!$C$34)=1,0,(2*((((('01_Inputs'!$C$5)*('01_Inputs'!$C$8)))*('01_Inputs'!$C$24)*('01_Inputs'!$C$25)*('01_Inputs'!$C$14)))))))+((0*'01_Inputs'!$C$5))+((IF(('01_Inputs'!$C$34)=1,0,((((('01_Inputs'!$C$5)*('01_Inputs'!$C$8)))*('01_Inputs'!$C$24)*('01_Inputs'!$C$25)*('01_Inputs'!$C$14)))))))/(('01_Inputs'!$C$32)*('02_HW'!$C$7))*('02_HW'!$C$10)))+((1+0*'01_Inputs'!$C$5))*('02_HW'!$C$9)*('02_HW'!$C$10))</x:f>
        <x:v>0.00046951164179104477</x:v>
      </x:c>
      <x:c r="S11" s="22" t="n">
        <x:f>(MAX((((1+0*'01_Inputs'!$C$5))*((2*((('01_Inputs'!$C$5)*('01_Inputs'!$C$8)))*('01_Inputs'!$C$24)*('01_Inputs'!$C$10)*('01_Inputs'!$C$25)))/(('01_Inputs'!$C$31)*('02_HW'!$C$6))*('02_HW'!$C$10)),(((1+0*'01_Inputs'!$C$5))*(((((((IF(('01_Inputs'!$C$29)&gt;0,('01_Inputs'!$C$29),('01_Inputs'!$C$23)*(1-POWER(1-1/('01_Inputs'!$C$23),((('01_Inputs'!$C$5)*('01_Inputs'!$C$8)))*('01_Inputs'!$C$24))))))*('01_Inputs'!$C$10)*('01_Inputs'!$C$25)*('01_Inputs'!$C$15)*('01_Inputs'!$C$30)))+(IF(('01_Inputs'!$C$34)=1,0,((((('01_Inputs'!$C$5)*('01_Inputs'!$C$8)))*('01_Inputs'!$C$24)*('01_Inputs'!$C$25)*('01_Inputs'!$C$14)))))))+((0*'01_Inputs'!$C$5))+((((('01_Inputs'!$C$5)*('01_Inputs'!$C$8)))*('01_Inputs'!$C$24)*('01_Inputs'!$C$10)*('01_Inputs'!$C$14))))/(('01_Inputs'!$C$32)*('02_HW'!$C$7))*('02_HW'!$C$10)))+((1+0*'01_Inputs'!$C$5))*('02_HW'!$C$9)*('02_HW'!$C$10))</x:f>
        <x:v>1.1385337792384582</x:v>
      </x:c>
      <x:c r="T11" s="22" t="n">
        <x:f>(MAX((((1+0*'01_Inputs'!$C$5))*((0*'01_Inputs'!$C$5))/(('01_Inputs'!$C$31)*('02_HW'!$C$6))*('02_HW'!$C$10)),(((1+0*'01_Inputs'!$C$5))*(((((('01_Inputs'!$C$5)*('01_Inputs'!$C$8)))*('01_Inputs'!$C$24)*('01_Inputs'!$C$10)*('01_Inputs'!$C$14)))+((((('01_Inputs'!$C$5)*('01_Inputs'!$C$8)))*('01_Inputs'!$C$10)*('01_Inputs'!$C$14)))+((0*'01_Inputs'!$C$5)))/(('01_Inputs'!$C$32)*('02_HW'!$C$7))*('02_HW'!$C$10)))+((1+0*'01_Inputs'!$C$5))*('02_HW'!$C$9)*('02_HW'!$C$10))</x:f>
        <x:v>0.0001565038805970149</x:v>
      </x:c>
    </x:row>
    <x:row r="16">
      <x:c r="A16" s="14" t="str">
        <x:v>Batch</x:v>
      </x:c>
      <x:c r="B16" s="28" t="str">
        <x:v>Attention decode ms</x:v>
      </x:c>
      <x:c r="C16" s="28" t="str">
        <x:v>HOPE decode ms</x:v>
      </x:c>
      <x:c r="D16" s="28" t="str">
        <x:v>Attention state GiB</x:v>
      </x:c>
      <x:c r="E16" s="28" t="str">
        <x:v>HOPE state GiB</x:v>
      </x:c>
      <x:c r="F16" s="15" t="str">
        <x:v>Attn / HOPE latency</x:v>
      </x:c>
      <x:c r="H16" s="50" t="str">
        <x:v>qkv_projection</x:v>
      </x:c>
      <x:c r="I16" s="51" t="str">
        <x:v>kv_cache_append</x:v>
      </x:c>
      <x:c r="J16" s="51" t="str">
        <x:v>q_materialization_read</x:v>
      </x:c>
      <x:c r="K16" s="51" t="str">
        <x:v>flash_decode_partials</x:v>
      </x:c>
      <x:c r="L16" s="51" t="str">
        <x:v>flash_decode_reduce</x:v>
      </x:c>
      <x:c r="M16" s="51" t="str">
        <x:v>output_projection</x:v>
      </x:c>
      <x:c r="N16" s="51" t="str">
        <x:v>moe_router</x:v>
      </x:c>
      <x:c r="O16" s="51" t="str">
        <x:v>moe_dispatch</x:v>
      </x:c>
      <x:c r="P16" s="51" t="str">
        <x:v>expert_up_projection</x:v>
      </x:c>
      <x:c r="Q16" s="51" t="str">
        <x:v>expert_gate_projection</x:v>
      </x:c>
      <x:c r="R16" s="51" t="str">
        <x:v>expert_swiglu_activation</x:v>
      </x:c>
      <x:c r="S16" s="51" t="str">
        <x:v>expert_down_projection</x:v>
      </x:c>
      <x:c r="T16" s="52" t="str">
        <x:v>moe_combine</x:v>
      </x:c>
    </x:row>
    <x:row r="17">
      <x:c r="A17" s="82" t="n">
        <x:f>'01_Inputs'!$B$65+0*('01_Inputs'!$C$5)</x:f>
        <x:v>1</x:v>
      </x:c>
      <x:c r="B17" s="65" t="n">
        <x:f>SUM(H17:T17)+0*('01_Inputs'!$C$5)</x:f>
        <x:v>0.8430081576119405</x:v>
      </x:c>
      <x:c r="C17" s="65" t="n">
        <x:f>(('21_HOPE_Decode'!$B$8)-('21_HOPE_Decode'!$Q$12)-((((SUM('21_HOPE_Decode'!$F$12:$F$45)-'21_HOPE_Decode'!$F$12))*('02_HW'!$C$9)*('02_HW'!$C$10))))*($A$17)/('01_Inputs'!$C$5)+((((SUM('21_HOPE_Decode'!$F$12:$F$45)-'21_HOPE_Decode'!$F$12))*('02_HW'!$C$9)*('02_HW'!$C$10)))+((MAX((((1+0*'01_Inputs'!$C$5))*((2*((($A$17)*('01_Inputs'!$C$8)))*('01_Inputs'!$C$10)*('01_Inputs'!$C$10)))/(('01_Inputs'!$C$31)*('02_HW'!$C$6))*('02_HW'!$C$10)),(((1+0*'01_Inputs'!$C$5))*(((((((($A$17)*('01_Inputs'!$C$8)))*('01_Inputs'!$C$10)*('01_Inputs'!$C$14)))+('01_Inputs'!$C$10)*('01_Inputs'!$C$10)*('01_Inputs'!$C$15)))+((0*'01_Inputs'!$C$5))+((((($A$17)*('01_Inputs'!$C$8)))*('01_Inputs'!$C$10)*('01_Inputs'!$C$14))))/(('01_Inputs'!$C$32)*('02_HW'!$C$7))*('02_HW'!$C$10)))+((1+0*'01_Inputs'!$C$5))*('02_HW'!$C$9)*('02_HW'!$C$10)))</x:f>
        <x:v>2.405456964324235</x:v>
      </x:c>
      <x:c r="D17" s="65" t="n">
        <x:f>(2*($A$17)*('01_Inputs'!$C$9)*('01_Inputs'!$C$13)*('01_Inputs'!$C$11)*('01_Inputs'!$C$16))/'02_HW'!$C$11</x:f>
        <x:v>2</x:v>
      </x:c>
      <x:c r="E17" s="65" t="n">
        <x:f>('21_HOPE_Decode'!$E$3)*($A$17)/('01_Inputs'!$C$5)/'02_HW'!$C$11</x:f>
        <x:v>2.9375762939453125</x:v>
      </x:c>
      <x:c r="F17" s="65" t="n">
        <x:f>B17/C17+0*('01_Inputs'!$C$5)</x:f>
        <x:v>0.3504565536256712</x:v>
      </x:c>
      <x:c r="G17" s="20"/>
      <x:c r="H17" s="20" t="n">
        <x:f>(MAX((((1+0*'01_Inputs'!$C$5))*((2*((($A$17)*('01_Inputs'!$C$8)))*('01_Inputs'!$C$10)*(((('01_Inputs'!$C$12)*('01_Inputs'!$C$11)))+2*((('01_Inputs'!$C$13)*('01_Inputs'!$C$11))))))/(('01_Inputs'!$C$31)*('02_HW'!$C$6))*('02_HW'!$C$10)),(((1+0*'01_Inputs'!$C$5))*(((((($A$17)*('01_Inputs'!$C$8)))*('01_Inputs'!$C$10)*('01_Inputs'!$C$14)+('01_Inputs'!$C$10)*(((('01_Inputs'!$C$12)*('01_Inputs'!$C$11)))+2*((('01_Inputs'!$C$13)*('01_Inputs'!$C$11))))*('01_Inputs'!$C$15)))+((0*'01_Inputs'!$C$5))+((((($A$17)*('01_Inputs'!$C$8)))*((('01_Inputs'!$C$12)*('01_Inputs'!$C$11)))*('01_Inputs'!$C$14))))/(('01_Inputs'!$C$32)*('02_HW'!$C$7))*('02_HW'!$C$10)))+((1+0*'01_Inputs'!$C$5))*('02_HW'!$C$9)*('02_HW'!$C$10))</x:f>
        <x:v>0.06010238089552239</x:v>
      </x:c>
      <x:c r="I17" s="20" t="n">
        <x:f>(MAX((((1+0*'01_Inputs'!$C$5))*((0*'01_Inputs'!$C$5))/(('01_Inputs'!$C$31)*('02_HW'!$C$6))*('02_HW'!$C$10)),(((1+0*'01_Inputs'!$C$5))*(((0*'01_Inputs'!$C$5))+((2*((($A$17)*('01_Inputs'!$C$8)))*((('01_Inputs'!$C$13)*('01_Inputs'!$C$11)))*('01_Inputs'!$C$16)))+((0*'01_Inputs'!$C$5)))/(('01_Inputs'!$C$32)*('02_HW'!$C$7))*('02_HW'!$C$10)))+((1+0*'01_Inputs'!$C$5))*('02_HW'!$C$9)*('02_HW'!$C$10))</x:f>
        <x:v>0.000004890746268656716</x:v>
      </x:c>
      <x:c r="J17" s="20" t="n">
        <x:f>(MAX((((1+0*'01_Inputs'!$C$5))*((0*'01_Inputs'!$C$5))/(('01_Inputs'!$C$31)*('02_HW'!$C$6))*('02_HW'!$C$10)),(((1+0*'01_Inputs'!$C$5))*(((((($A$17)*('01_Inputs'!$C$8)))*((('01_Inputs'!$C$12)*('01_Inputs'!$C$11)))*('01_Inputs'!$C$14)))+((0*'01_Inputs'!$C$5))+((0*'01_Inputs'!$C$5)))/(('01_Inputs'!$C$32)*('02_HW'!$C$7))*('02_HW'!$C$10)))+((1+0*'01_Inputs'!$C$5))*('02_HW'!$C$9)*('02_HW'!$C$10))</x:f>
        <x:v>0.000002445373134328358</x:v>
      </x:c>
      <x:c r="K17" s="20" t="n">
        <x:f>(MAX((((1+0*'01_Inputs'!$C$5))*((4*((($A$17)*('01_Inputs'!$C$12)*('01_Inputs'!$C$8)*('01_Inputs'!$C$9)))*('01_Inputs'!$C$11)+('01_Inputs'!$C$22)*((($A$17)*('01_Inputs'!$C$12)*('01_Inputs'!$C$8)*('01_Inputs'!$C$9)))))/(('01_Inputs'!$C$31)*('02_HW'!$C$6))*('02_HW'!$C$10)),(((1+0*'01_Inputs'!$C$5))*(((2*($A$17)*('01_Inputs'!$C$9)*((('01_Inputs'!$C$13)*('01_Inputs'!$C$11)))*('01_Inputs'!$C$16)*('01_Inputs'!$C$21)))+((IF(('01_Inputs'!$C$19)=1,(((($A$17)*('01_Inputs'!$C$8)))*((('01_Inputs'!$C$12)*('01_Inputs'!$C$11)))*('01_Inputs'!$C$14)),0)))+((IF(('01_Inputs'!$C$19)=1,0,($A$17)*('01_Inputs'!$C$8)*('01_Inputs'!$C$12)*('01_Inputs'!$C$19)*(('01_Inputs'!$C$11)*('01_Inputs'!$C$17)+('01_Inputs'!$C$18))))))/(('01_Inputs'!$C$32)*('02_HW'!$C$7))*('02_HW'!$C$10)))+((1+0*'01_Inputs'!$C$5))*('02_HW'!$C$9)*('02_HW'!$C$10))</x:f>
        <x:v>0.6416708011940299</x:v>
      </x:c>
      <x:c r="L17" s="20" t="n">
        <x:f>(MAX((((IF(('01_Inputs'!$C$19)&gt;1,1,0)+0*'01_Inputs'!$C$5))*((0*'01_Inputs'!$C$5))/(('01_Inputs'!$C$31)*('02_HW'!$C$6))*('02_HW'!$C$10)),(((IF(('01_Inputs'!$C$19)&gt;1,1,0)+0*'01_Inputs'!$C$5))*(((IF(('01_Inputs'!$C$19)=1,0,($A$17)*('01_Inputs'!$C$8)*('01_Inputs'!$C$12)*('01_Inputs'!$C$19)*(('01_Inputs'!$C$11)*('01_Inputs'!$C$17)+('01_Inputs'!$C$18)))))+((((($A$17)*('01_Inputs'!$C$8)))*((('01_Inputs'!$C$12)*('01_Inputs'!$C$11)))*('01_Inputs'!$C$14)))+((0*'01_Inputs'!$C$5)))/(('01_Inputs'!$C$32)*('02_HW'!$C$7))*('02_HW'!$C$10)))+((IF(('01_Inputs'!$C$19)&gt;1,1,0)+0*'01_Inputs'!$C$5))*('02_HW'!$C$9)*('02_HW'!$C$10))</x:f>
        <x:v>0.0006333516417910448</x:v>
      </x:c>
      <x:c r="M17" s="20" t="n">
        <x:f>(MAX((((1+0*'01_Inputs'!$C$5))*((2*((($A$17)*('01_Inputs'!$C$8)))*((('01_Inputs'!$C$12)*('01_Inputs'!$C$11)))*('01_Inputs'!$C$10)))/(('01_Inputs'!$C$31)*('02_HW'!$C$6))*('02_HW'!$C$10)),(((1+0*'01_Inputs'!$C$5))*(((((($A$17)*('01_Inputs'!$C$8)))*((('01_Inputs'!$C$12)*('01_Inputs'!$C$11)))*('01_Inputs'!$C$14)+((('01_Inputs'!$C$12)*('01_Inputs'!$C$11)))*('01_Inputs'!$C$10)*('01_Inputs'!$C$15)))+((0*'01_Inputs'!$C$5))+((((($A$17)*('01_Inputs'!$C$8)))*('01_Inputs'!$C$10)*('01_Inputs'!$C$14))))/(('01_Inputs'!$C$32)*('02_HW'!$C$7))*('02_HW'!$C$10)))+((1+0*'01_Inputs'!$C$5))*('02_HW'!$C$9)*('02_HW'!$C$10))</x:f>
        <x:v>0.020037387462686566</x:v>
      </x:c>
      <x:c r="N17" s="20" t="n">
        <x:f>(MAX((((1+0*'01_Inputs'!$C$5))*((2*((($A$17)*('01_Inputs'!$C$8)))*('01_Inputs'!$C$10)*('01_Inputs'!$C$23)+('01_Inputs'!$C$27)*((($A$17)*('01_Inputs'!$C$8)))*('01_Inputs'!$C$23)))/(('01_Inputs'!$C$31)*('02_HW'!$C$6))*('02_HW'!$C$10)),(((1+0*'01_Inputs'!$C$5))*(((((((($A$17)*('01_Inputs'!$C$8)))*('01_Inputs'!$C$10)*('01_Inputs'!$C$14)))+('01_Inputs'!$C$10)*('01_Inputs'!$C$23)*('01_Inputs'!$C$15)))+((0*'01_Inputs'!$C$5))+((((($A$17)*('01_Inputs'!$C$8)))*('01_Inputs'!$C$24)*('01_Inputs'!$C$28))))/(('01_Inputs'!$C$32)*('02_HW'!$C$7))*('02_HW'!$C$10)))+((1+0*'01_Inputs'!$C$5))*('02_HW'!$C$9)*('02_HW'!$C$10))</x:f>
        <x:v>0.0003154555223880597</x:v>
      </x:c>
      <x:c r="O17" s="20" t="n">
        <x:f>(MAX((((1+0*'01_Inputs'!$C$5))*((0*'01_Inputs'!$C$5))/(('01_Inputs'!$C$31)*('02_HW'!$C$6))*('02_HW'!$C$10)),(((1+0*'01_Inputs'!$C$5))*(((((((($A$17)*('01_Inputs'!$C$8)))*('01_Inputs'!$C$10)*('01_Inputs'!$C$14)))+((((($A$17)*('01_Inputs'!$C$8)))*('01_Inputs'!$C$24)*('01_Inputs'!$C$28)))))+((0*'01_Inputs'!$C$5))+((((($A$17)*('01_Inputs'!$C$8)))*('01_Inputs'!$C$24)*('01_Inputs'!$C$10)*('01_Inputs'!$C$14))))/(('01_Inputs'!$C$32)*('02_HW'!$C$7))*('02_HW'!$C$10)))+((1+0*'01_Inputs'!$C$5))*('02_HW'!$C$9)*('02_HW'!$C$10))</x:f>
        <x:v>0.000004893134328358209</x:v>
      </x:c>
      <x:c r="P17" s="20" t="n">
        <x:f>(MAX((((1+0*'01_Inputs'!$C$5))*((2*((($A$17)*('01_Inputs'!$C$8)))*('01_Inputs'!$C$24)*('01_Inputs'!$C$10)*('01_Inputs'!$C$25)))/(('01_Inputs'!$C$31)*('02_HW'!$C$6))*('02_HW'!$C$10)),(((1+0*'01_Inputs'!$C$5))*(((((((($A$17)*('01_Inputs'!$C$8)))*('01_Inputs'!$C$24)*('01_Inputs'!$C$10)*('01_Inputs'!$C$14)))+((((IF(('01_Inputs'!$C$29)&gt;0,('01_Inputs'!$C$29),('01_Inputs'!$C$23)*(1-POWER(1-1/('01_Inputs'!$C$23),((($A$17)*('01_Inputs'!$C$8)))*('01_Inputs'!$C$24))))))*('01_Inputs'!$C$10)*('01_Inputs'!$C$25)*('01_Inputs'!$C$15)*('01_Inputs'!$C$30)))))+((0*'01_Inputs'!$C$5))+((IF(('01_Inputs'!$C$34)=1,0,((((($A$17)*('01_Inputs'!$C$8)))*('01_Inputs'!$C$24)*('01_Inputs'!$C$25)*('01_Inputs'!$C$14)))))))/(('01_Inputs'!$C$32)*('02_HW'!$C$7))*('02_HW'!$C$10)))+((1+0*'01_Inputs'!$C$5))*('02_HW'!$C$9)*('02_HW'!$C$10))</x:f>
        <x:v>0.04007232955223881</x:v>
      </x:c>
      <x:c r="Q17" s="20" t="n">
        <x:f>(MAX((((1+0*'01_Inputs'!$C$5))*((2*((($A$17)*('01_Inputs'!$C$8)))*('01_Inputs'!$C$24)*('01_Inputs'!$C$10)*('01_Inputs'!$C$25)))/(('01_Inputs'!$C$31)*('02_HW'!$C$6))*('02_HW'!$C$10)),(((1+0*'01_Inputs'!$C$5))*(((((((IF(('01_Inputs'!$C$29)&gt;0,('01_Inputs'!$C$29),('01_Inputs'!$C$23)*(1-POWER(1-1/('01_Inputs'!$C$23),((($A$17)*('01_Inputs'!$C$8)))*('01_Inputs'!$C$24))))))*('01_Inputs'!$C$10)*('01_Inputs'!$C$25)*('01_Inputs'!$C$15)*('01_Inputs'!$C$30)))+(IF(('01_Inputs'!$C$34)=1,0,((((($A$17)*('01_Inputs'!$C$8)))*('01_Inputs'!$C$24)*('01_Inputs'!$C$10)*('01_Inputs'!$C$14)))))))+((0*'01_Inputs'!$C$5))+((IF(('01_Inputs'!$C$34)=1,0,((((($A$17)*('01_Inputs'!$C$8)))*('01_Inputs'!$C$24)*('01_Inputs'!$C$25)*('01_Inputs'!$C$14)))))))/(('01_Inputs'!$C$32)*('02_HW'!$C$7))*('02_HW'!$C$10)))+((1+0*'01_Inputs'!$C$5))*('02_HW'!$C$9)*('02_HW'!$C$10))</x:f>
        <x:v>0.04007232955223881</x:v>
      </x:c>
      <x:c r="R17" s="20" t="n">
        <x:f>(MAX((((1+0*'01_Inputs'!$C$5))*((((($A$17)*('01_Inputs'!$C$8)))*('01_Inputs'!$C$24)*('01_Inputs'!$C$25)*('01_Inputs'!$C$33)))/(('01_Inputs'!$C$31)*('02_HW'!$C$6))*('02_HW'!$C$10)),(((1+0*'01_Inputs'!$C$5))*(((IF(('01_Inputs'!$C$34)=1,0,(2*((((($A$17)*('01_Inputs'!$C$8)))*('01_Inputs'!$C$24)*('01_Inputs'!$C$25)*('01_Inputs'!$C$14)))))))+((0*'01_Inputs'!$C$5))+((IF(('01_Inputs'!$C$34)=1,0,((((($A$17)*('01_Inputs'!$C$8)))*('01_Inputs'!$C$24)*('01_Inputs'!$C$25)*('01_Inputs'!$C$14)))))))/(('01_Inputs'!$C$32)*('02_HW'!$C$7))*('02_HW'!$C$10)))+((1+0*'01_Inputs'!$C$5))*('02_HW'!$C$9)*('02_HW'!$C$10))</x:f>
        <x:v>0.000014672238805970149</x:v>
      </x:c>
      <x:c r="S17" s="20" t="n">
        <x:f>(MAX((((1+0*'01_Inputs'!$C$5))*((2*((($A$17)*('01_Inputs'!$C$8)))*('01_Inputs'!$C$24)*('01_Inputs'!$C$10)*('01_Inputs'!$C$25)))/(('01_Inputs'!$C$31)*('02_HW'!$C$6))*('02_HW'!$C$10)),(((1+0*'01_Inputs'!$C$5))*(((((((IF(('01_Inputs'!$C$29)&gt;0,('01_Inputs'!$C$29),('01_Inputs'!$C$23)*(1-POWER(1-1/('01_Inputs'!$C$23),((($A$17)*('01_Inputs'!$C$8)))*('01_Inputs'!$C$24))))))*('01_Inputs'!$C$10)*('01_Inputs'!$C$25)*('01_Inputs'!$C$15)*('01_Inputs'!$C$30)))+(IF(('01_Inputs'!$C$34)=1,0,((((($A$17)*('01_Inputs'!$C$8)))*('01_Inputs'!$C$24)*('01_Inputs'!$C$25)*('01_Inputs'!$C$14)))))))+((0*'01_Inputs'!$C$5))+((((($A$17)*('01_Inputs'!$C$8)))*('01_Inputs'!$C$24)*('01_Inputs'!$C$10)*('01_Inputs'!$C$14))))/(('01_Inputs'!$C$32)*('02_HW'!$C$7))*('02_HW'!$C$10)))+((1+0*'01_Inputs'!$C$5))*('02_HW'!$C$9)*('02_HW'!$C$10))</x:f>
        <x:v>0.04007232955223881</x:v>
      </x:c>
      <x:c r="T17" s="20" t="n">
        <x:f>(MAX((((1+0*'01_Inputs'!$C$5))*((0*'01_Inputs'!$C$5))/(('01_Inputs'!$C$31)*('02_HW'!$C$6))*('02_HW'!$C$10)),(((1+0*'01_Inputs'!$C$5))*(((((($A$17)*('01_Inputs'!$C$8)))*('01_Inputs'!$C$24)*('01_Inputs'!$C$10)*('01_Inputs'!$C$14)))+((((($A$17)*('01_Inputs'!$C$8)))*('01_Inputs'!$C$10)*('01_Inputs'!$C$14)))+((0*'01_Inputs'!$C$5)))/(('01_Inputs'!$C$32)*('02_HW'!$C$7))*('02_HW'!$C$10)))+((1+0*'01_Inputs'!$C$5))*('02_HW'!$C$9)*('02_HW'!$C$10))</x:f>
        <x:v>0.000004890746268656716</x:v>
      </x:c>
    </x:row>
    <x:row r="18">
      <x:c r="A18" s="83" t="n">
        <x:f>'01_Inputs'!$C$65+0*('01_Inputs'!$C$5)</x:f>
        <x:v>2</x:v>
      </x:c>
      <x:c r="B18" s="66" t="n">
        <x:f>SUM(H18:T18)+0*('01_Inputs'!$C$5)</x:f>
        <x:v>1.6046342973134329</x:v>
      </x:c>
      <x:c r="C18" s="66" t="n">
        <x:f>(('21_HOPE_Decode'!$B$8)-('21_HOPE_Decode'!$Q$12)-((((SUM('21_HOPE_Decode'!$F$12:$F$45)-'21_HOPE_Decode'!$F$12))*('02_HW'!$C$9)*('02_HW'!$C$10))))*($A$18)/('01_Inputs'!$C$5)+((((SUM('21_HOPE_Decode'!$F$12:$F$45)-'21_HOPE_Decode'!$F$12))*('02_HW'!$C$9)*('02_HW'!$C$10)))+((MAX((((1+0*'01_Inputs'!$C$5))*((2*((($A$18)*('01_Inputs'!$C$8)))*('01_Inputs'!$C$10)*('01_Inputs'!$C$10)))/(('01_Inputs'!$C$31)*('02_HW'!$C$6))*('02_HW'!$C$10)),(((1+0*'01_Inputs'!$C$5))*(((((((($A$18)*('01_Inputs'!$C$8)))*('01_Inputs'!$C$10)*('01_Inputs'!$C$14)))+('01_Inputs'!$C$10)*('01_Inputs'!$C$10)*('01_Inputs'!$C$15)))+((0*'01_Inputs'!$C$5))+((((($A$18)*('01_Inputs'!$C$8)))*('01_Inputs'!$C$10)*('01_Inputs'!$C$14))))/(('01_Inputs'!$C$32)*('02_HW'!$C$7))*('02_HW'!$C$10)))+((1+0*'01_Inputs'!$C$5))*('02_HW'!$C$9)*('02_HW'!$C$10)))</x:f>
        <x:v>4.7908814319320525</x:v>
      </x:c>
      <x:c r="D18" s="66" t="n">
        <x:f>(2*($A$18)*('01_Inputs'!$C$9)*('01_Inputs'!$C$13)*('01_Inputs'!$C$11)*('01_Inputs'!$C$16))/'02_HW'!$C$11</x:f>
        <x:v>4</x:v>
      </x:c>
      <x:c r="E18" s="66" t="n">
        <x:f>('21_HOPE_Decode'!$E$3)*($A$18)/('01_Inputs'!$C$5)/'02_HW'!$C$11</x:f>
        <x:v>5.875152587890625</x:v>
      </x:c>
      <x:c r="F18" s="66" t="n">
        <x:f>B18/C18+0*('01_Inputs'!$C$5)</x:f>
        <x:v>0.33493508869125166</x:v>
      </x:c>
      <x:c r="G18" s="21"/>
      <x:c r="H18" s="21" t="n">
        <x:f>(MAX((((1+0*'01_Inputs'!$C$5))*((2*((($A$18)*('01_Inputs'!$C$8)))*('01_Inputs'!$C$10)*(((('01_Inputs'!$C$12)*('01_Inputs'!$C$11)))+2*((('01_Inputs'!$C$13)*('01_Inputs'!$C$11))))))/(('01_Inputs'!$C$31)*('02_HW'!$C$6))*('02_HW'!$C$10)),(((1+0*'01_Inputs'!$C$5))*(((((($A$18)*('01_Inputs'!$C$8)))*('01_Inputs'!$C$10)*('01_Inputs'!$C$14)+('01_Inputs'!$C$10)*(((('01_Inputs'!$C$12)*('01_Inputs'!$C$11)))+2*((('01_Inputs'!$C$13)*('01_Inputs'!$C$11))))*('01_Inputs'!$C$15)))+((0*'01_Inputs'!$C$5))+((((($A$18)*('01_Inputs'!$C$8)))*((('01_Inputs'!$C$12)*('01_Inputs'!$C$11)))*('01_Inputs'!$C$14))))/(('01_Inputs'!$C$32)*('02_HW'!$C$7))*('02_HW'!$C$10)))+((1+0*'01_Inputs'!$C$5))*('02_HW'!$C$9)*('02_HW'!$C$10))</x:f>
        <x:v>0.06010727164179104</x:v>
      </x:c>
      <x:c r="I18" s="21" t="n">
        <x:f>(MAX((((1+0*'01_Inputs'!$C$5))*((0*'01_Inputs'!$C$5))/(('01_Inputs'!$C$31)*('02_HW'!$C$6))*('02_HW'!$C$10)),(((1+0*'01_Inputs'!$C$5))*(((0*'01_Inputs'!$C$5))+((2*((($A$18)*('01_Inputs'!$C$8)))*((('01_Inputs'!$C$13)*('01_Inputs'!$C$11)))*('01_Inputs'!$C$16)))+((0*'01_Inputs'!$C$5)))/(('01_Inputs'!$C$32)*('02_HW'!$C$7))*('02_HW'!$C$10)))+((1+0*'01_Inputs'!$C$5))*('02_HW'!$C$9)*('02_HW'!$C$10))</x:f>
        <x:v>0.000009781492537313432</x:v>
      </x:c>
      <x:c r="J18" s="21" t="n">
        <x:f>(MAX((((1+0*'01_Inputs'!$C$5))*((0*'01_Inputs'!$C$5))/(('01_Inputs'!$C$31)*('02_HW'!$C$6))*('02_HW'!$C$10)),(((1+0*'01_Inputs'!$C$5))*(((((($A$18)*('01_Inputs'!$C$8)))*((('01_Inputs'!$C$12)*('01_Inputs'!$C$11)))*('01_Inputs'!$C$14)))+((0*'01_Inputs'!$C$5))+((0*'01_Inputs'!$C$5)))/(('01_Inputs'!$C$32)*('02_HW'!$C$7))*('02_HW'!$C$10)))+((1+0*'01_Inputs'!$C$5))*('02_HW'!$C$9)*('02_HW'!$C$10))</x:f>
        <x:v>0.000004890746268656716</x:v>
      </x:c>
      <x:c r="K18" s="21" t="n">
        <x:f>(MAX((((1+0*'01_Inputs'!$C$5))*((4*((($A$18)*('01_Inputs'!$C$12)*('01_Inputs'!$C$8)*('01_Inputs'!$C$9)))*('01_Inputs'!$C$11)+('01_Inputs'!$C$22)*((($A$18)*('01_Inputs'!$C$12)*('01_Inputs'!$C$8)*('01_Inputs'!$C$9)))))/(('01_Inputs'!$C$31)*('02_HW'!$C$6))*('02_HW'!$C$10)),(((1+0*'01_Inputs'!$C$5))*(((2*($A$18)*('01_Inputs'!$C$9)*((('01_Inputs'!$C$13)*('01_Inputs'!$C$11)))*('01_Inputs'!$C$16)*('01_Inputs'!$C$21)))+((IF(('01_Inputs'!$C$19)=1,(((($A$18)*('01_Inputs'!$C$8)))*((('01_Inputs'!$C$12)*('01_Inputs'!$C$11)))*('01_Inputs'!$C$14)),0)))+((IF(('01_Inputs'!$C$19)=1,0,($A$18)*('01_Inputs'!$C$8)*('01_Inputs'!$C$12)*('01_Inputs'!$C$19)*(('01_Inputs'!$C$11)*('01_Inputs'!$C$17)+('01_Inputs'!$C$18))))))/(('01_Inputs'!$C$32)*('02_HW'!$C$7))*('02_HW'!$C$10)))+((1+0*'01_Inputs'!$C$5))*('02_HW'!$C$9)*('02_HW'!$C$10))</x:f>
        <x:v>1.2833416023880597</x:v>
      </x:c>
      <x:c r="L18" s="21" t="n">
        <x:f>(MAX((((IF(('01_Inputs'!$C$19)&gt;1,1,0)+0*'01_Inputs'!$C$5))*((0*'01_Inputs'!$C$5))/(('01_Inputs'!$C$31)*('02_HW'!$C$6))*('02_HW'!$C$10)),(((IF(('01_Inputs'!$C$19)&gt;1,1,0)+0*'01_Inputs'!$C$5))*(((IF(('01_Inputs'!$C$19)=1,0,($A$18)*('01_Inputs'!$C$8)*('01_Inputs'!$C$12)*('01_Inputs'!$C$19)*(('01_Inputs'!$C$11)*('01_Inputs'!$C$17)+('01_Inputs'!$C$18)))))+((((($A$18)*('01_Inputs'!$C$8)))*((('01_Inputs'!$C$12)*('01_Inputs'!$C$11)))*('01_Inputs'!$C$14)))+((0*'01_Inputs'!$C$5)))/(('01_Inputs'!$C$32)*('02_HW'!$C$7))*('02_HW'!$C$10)))+((IF(('01_Inputs'!$C$19)&gt;1,1,0)+0*'01_Inputs'!$C$5))*('02_HW'!$C$9)*('02_HW'!$C$10))</x:f>
        <x:v>0.0012667032835820896</x:v>
      </x:c>
      <x:c r="M18" s="21" t="n">
        <x:f>(MAX((((1+0*'01_Inputs'!$C$5))*((2*((($A$18)*('01_Inputs'!$C$8)))*((('01_Inputs'!$C$12)*('01_Inputs'!$C$11)))*('01_Inputs'!$C$10)))/(('01_Inputs'!$C$31)*('02_HW'!$C$6))*('02_HW'!$C$10)),(((1+0*'01_Inputs'!$C$5))*(((((($A$18)*('01_Inputs'!$C$8)))*((('01_Inputs'!$C$12)*('01_Inputs'!$C$11)))*('01_Inputs'!$C$14)+((('01_Inputs'!$C$12)*('01_Inputs'!$C$11)))*('01_Inputs'!$C$10)*('01_Inputs'!$C$15)))+((0*'01_Inputs'!$C$5))+((((($A$18)*('01_Inputs'!$C$8)))*('01_Inputs'!$C$10)*('01_Inputs'!$C$14))))/(('01_Inputs'!$C$32)*('02_HW'!$C$7))*('02_HW'!$C$10)))+((1+0*'01_Inputs'!$C$5))*('02_HW'!$C$9)*('02_HW'!$C$10))</x:f>
        <x:v>0.020042278208955225</x:v>
      </x:c>
      <x:c r="N18" s="21" t="n">
        <x:f>(MAX((((1+0*'01_Inputs'!$C$5))*((2*((($A$18)*('01_Inputs'!$C$8)))*('01_Inputs'!$C$10)*('01_Inputs'!$C$23)+('01_Inputs'!$C$27)*((($A$18)*('01_Inputs'!$C$8)))*('01_Inputs'!$C$23)))/(('01_Inputs'!$C$31)*('02_HW'!$C$6))*('02_HW'!$C$10)),(((1+0*'01_Inputs'!$C$5))*(((((((($A$18)*('01_Inputs'!$C$8)))*('01_Inputs'!$C$10)*('01_Inputs'!$C$14)))+('01_Inputs'!$C$10)*('01_Inputs'!$C$23)*('01_Inputs'!$C$15)))+((0*'01_Inputs'!$C$5))+((((($A$18)*('01_Inputs'!$C$8)))*('01_Inputs'!$C$24)*('01_Inputs'!$C$28))))/(('01_Inputs'!$C$32)*('02_HW'!$C$7))*('02_HW'!$C$10)))+((1+0*'01_Inputs'!$C$5))*('02_HW'!$C$9)*('02_HW'!$C$10))</x:f>
        <x:v>0.0003179032835820896</x:v>
      </x:c>
      <x:c r="O18" s="21" t="n">
        <x:f>(MAX((((1+0*'01_Inputs'!$C$5))*((0*'01_Inputs'!$C$5))/(('01_Inputs'!$C$31)*('02_HW'!$C$6))*('02_HW'!$C$10)),(((1+0*'01_Inputs'!$C$5))*(((((((($A$18)*('01_Inputs'!$C$8)))*('01_Inputs'!$C$10)*('01_Inputs'!$C$14)))+((((($A$18)*('01_Inputs'!$C$8)))*('01_Inputs'!$C$24)*('01_Inputs'!$C$28)))))+((0*'01_Inputs'!$C$5))+((((($A$18)*('01_Inputs'!$C$8)))*('01_Inputs'!$C$24)*('01_Inputs'!$C$10)*('01_Inputs'!$C$14))))/(('01_Inputs'!$C$32)*('02_HW'!$C$7))*('02_HW'!$C$10)))+((1+0*'01_Inputs'!$C$5))*('02_HW'!$C$9)*('02_HW'!$C$10))</x:f>
        <x:v>0.000009786268656716418</x:v>
      </x:c>
      <x:c r="P18" s="21" t="n">
        <x:f>(MAX((((1+0*'01_Inputs'!$C$5))*((2*((($A$18)*('01_Inputs'!$C$8)))*('01_Inputs'!$C$24)*('01_Inputs'!$C$10)*('01_Inputs'!$C$25)))/(('01_Inputs'!$C$31)*('02_HW'!$C$6))*('02_HW'!$C$10)),(((1+0*'01_Inputs'!$C$5))*(((((((($A$18)*('01_Inputs'!$C$8)))*('01_Inputs'!$C$24)*('01_Inputs'!$C$10)*('01_Inputs'!$C$14)))+((((IF(('01_Inputs'!$C$29)&gt;0,('01_Inputs'!$C$29),('01_Inputs'!$C$23)*(1-POWER(1-1/('01_Inputs'!$C$23),((($A$18)*('01_Inputs'!$C$8)))*('01_Inputs'!$C$24))))))*('01_Inputs'!$C$10)*('01_Inputs'!$C$25)*('01_Inputs'!$C$15)*('01_Inputs'!$C$30)))))+((0*'01_Inputs'!$C$5))+((IF(('01_Inputs'!$C$34)=1,0,((((($A$18)*('01_Inputs'!$C$8)))*('01_Inputs'!$C$24)*('01_Inputs'!$C$25)*('01_Inputs'!$C$14)))))))/(('01_Inputs'!$C$32)*('02_HW'!$C$7))*('02_HW'!$C$10)))+((1+0*'01_Inputs'!$C$5))*('02_HW'!$C$9)*('02_HW'!$C$10))</x:f>
        <x:v>0.07983165134328357</x:v>
      </x:c>
      <x:c r="Q18" s="21" t="n">
        <x:f>(MAX((((1+0*'01_Inputs'!$C$5))*((2*((($A$18)*('01_Inputs'!$C$8)))*('01_Inputs'!$C$24)*('01_Inputs'!$C$10)*('01_Inputs'!$C$25)))/(('01_Inputs'!$C$31)*('02_HW'!$C$6))*('02_HW'!$C$10)),(((1+0*'01_Inputs'!$C$5))*(((((((IF(('01_Inputs'!$C$29)&gt;0,('01_Inputs'!$C$29),('01_Inputs'!$C$23)*(1-POWER(1-1/('01_Inputs'!$C$23),((($A$18)*('01_Inputs'!$C$8)))*('01_Inputs'!$C$24))))))*('01_Inputs'!$C$10)*('01_Inputs'!$C$25)*('01_Inputs'!$C$15)*('01_Inputs'!$C$30)))+(IF(('01_Inputs'!$C$34)=1,0,((((($A$18)*('01_Inputs'!$C$8)))*('01_Inputs'!$C$24)*('01_Inputs'!$C$10)*('01_Inputs'!$C$14)))))))+((0*'01_Inputs'!$C$5))+((IF(('01_Inputs'!$C$34)=1,0,((((($A$18)*('01_Inputs'!$C$8)))*('01_Inputs'!$C$24)*('01_Inputs'!$C$25)*('01_Inputs'!$C$14)))))))/(('01_Inputs'!$C$32)*('02_HW'!$C$7))*('02_HW'!$C$10)))+((1+0*'01_Inputs'!$C$5))*('02_HW'!$C$9)*('02_HW'!$C$10))</x:f>
        <x:v>0.07983165134328357</x:v>
      </x:c>
      <x:c r="R18" s="21" t="n">
        <x:f>(MAX((((1+0*'01_Inputs'!$C$5))*((((($A$18)*('01_Inputs'!$C$8)))*('01_Inputs'!$C$24)*('01_Inputs'!$C$25)*('01_Inputs'!$C$33)))/(('01_Inputs'!$C$31)*('02_HW'!$C$6))*('02_HW'!$C$10)),(((1+0*'01_Inputs'!$C$5))*(((IF(('01_Inputs'!$C$34)=1,0,(2*((((($A$18)*('01_Inputs'!$C$8)))*('01_Inputs'!$C$24)*('01_Inputs'!$C$25)*('01_Inputs'!$C$14)))))))+((0*'01_Inputs'!$C$5))+((IF(('01_Inputs'!$C$34)=1,0,((((($A$18)*('01_Inputs'!$C$8)))*('01_Inputs'!$C$24)*('01_Inputs'!$C$25)*('01_Inputs'!$C$14)))))))/(('01_Inputs'!$C$32)*('02_HW'!$C$7))*('02_HW'!$C$10)))+((1+0*'01_Inputs'!$C$5))*('02_HW'!$C$9)*('02_HW'!$C$10))</x:f>
        <x:v>0.000029344477611940298</x:v>
      </x:c>
      <x:c r="S18" s="21" t="n">
        <x:f>(MAX((((1+0*'01_Inputs'!$C$5))*((2*((($A$18)*('01_Inputs'!$C$8)))*('01_Inputs'!$C$24)*('01_Inputs'!$C$10)*('01_Inputs'!$C$25)))/(('01_Inputs'!$C$31)*('02_HW'!$C$6))*('02_HW'!$C$10)),(((1+0*'01_Inputs'!$C$5))*(((((((IF(('01_Inputs'!$C$29)&gt;0,('01_Inputs'!$C$29),('01_Inputs'!$C$23)*(1-POWER(1-1/('01_Inputs'!$C$23),((($A$18)*('01_Inputs'!$C$8)))*('01_Inputs'!$C$24))))))*('01_Inputs'!$C$10)*('01_Inputs'!$C$25)*('01_Inputs'!$C$15)*('01_Inputs'!$C$30)))+(IF(('01_Inputs'!$C$34)=1,0,((((($A$18)*('01_Inputs'!$C$8)))*('01_Inputs'!$C$24)*('01_Inputs'!$C$25)*('01_Inputs'!$C$14)))))))+((0*'01_Inputs'!$C$5))+((((($A$18)*('01_Inputs'!$C$8)))*('01_Inputs'!$C$24)*('01_Inputs'!$C$10)*('01_Inputs'!$C$14))))/(('01_Inputs'!$C$32)*('02_HW'!$C$7))*('02_HW'!$C$10)))+((1+0*'01_Inputs'!$C$5))*('02_HW'!$C$9)*('02_HW'!$C$10))</x:f>
        <x:v>0.07983165134328357</x:v>
      </x:c>
      <x:c r="T18" s="21" t="n">
        <x:f>(MAX((((1+0*'01_Inputs'!$C$5))*((0*'01_Inputs'!$C$5))/(('01_Inputs'!$C$31)*('02_HW'!$C$6))*('02_HW'!$C$10)),(((1+0*'01_Inputs'!$C$5))*(((((($A$18)*('01_Inputs'!$C$8)))*('01_Inputs'!$C$24)*('01_Inputs'!$C$10)*('01_Inputs'!$C$14)))+((((($A$18)*('01_Inputs'!$C$8)))*('01_Inputs'!$C$10)*('01_Inputs'!$C$14)))+((0*'01_Inputs'!$C$5)))/(('01_Inputs'!$C$32)*('02_HW'!$C$7))*('02_HW'!$C$10)))+((1+0*'01_Inputs'!$C$5))*('02_HW'!$C$9)*('02_HW'!$C$10))</x:f>
        <x:v>0.000009781492537313432</x:v>
      </x:c>
    </x:row>
    <x:row r="19">
      <x:c r="A19" s="83" t="n">
        <x:f>'01_Inputs'!$D$65+0*('01_Inputs'!$C$5)</x:f>
        <x:v>4</x:v>
      </x:c>
      <x:c r="B19" s="66" t="n">
        <x:f>SUM(H19:T19)+0*('01_Inputs'!$C$5)</x:f>
        <x:v>3.1250987940298502</x:v>
      </x:c>
      <x:c r="C19" s="66" t="n">
        <x:f>(('21_HOPE_Decode'!$B$8)-('21_HOPE_Decode'!$Q$12)-((((SUM('21_HOPE_Decode'!$F$12:$F$45)-'21_HOPE_Decode'!$F$12))*('02_HW'!$C$9)*('02_HW'!$C$10))))*($A$19)/('01_Inputs'!$C$5)+((((SUM('21_HOPE_Decode'!$F$12:$F$45)-'21_HOPE_Decode'!$F$12))*('02_HW'!$C$9)*('02_HW'!$C$10)))+((MAX((((1+0*'01_Inputs'!$C$5))*((2*((($A$19)*('01_Inputs'!$C$8)))*('01_Inputs'!$C$10)*('01_Inputs'!$C$10)))/(('01_Inputs'!$C$31)*('02_HW'!$C$6))*('02_HW'!$C$10)),(((1+0*'01_Inputs'!$C$5))*(((((((($A$19)*('01_Inputs'!$C$8)))*('01_Inputs'!$C$10)*('01_Inputs'!$C$14)))+('01_Inputs'!$C$10)*('01_Inputs'!$C$10)*('01_Inputs'!$C$15)))+((0*'01_Inputs'!$C$5))+((((($A$19)*('01_Inputs'!$C$8)))*('01_Inputs'!$C$10)*('01_Inputs'!$C$14))))/(('01_Inputs'!$C$32)*('02_HW'!$C$7))*('02_HW'!$C$10)))+((1+0*'01_Inputs'!$C$5))*('02_HW'!$C$9)*('02_HW'!$C$10)))</x:f>
        <x:v>9.561730367147687</x:v>
      </x:c>
      <x:c r="D19" s="66" t="n">
        <x:f>(2*($A$19)*('01_Inputs'!$C$9)*('01_Inputs'!$C$13)*('01_Inputs'!$C$11)*('01_Inputs'!$C$16))/'02_HW'!$C$11</x:f>
        <x:v>8</x:v>
      </x:c>
      <x:c r="E19" s="66" t="n">
        <x:f>('21_HOPE_Decode'!$E$3)*($A$19)/('01_Inputs'!$C$5)/'02_HW'!$C$11</x:f>
        <x:v>11.75030517578125</x:v>
      </x:c>
      <x:c r="F19" s="66" t="n">
        <x:f>B19/C19+0*('01_Inputs'!$C$5)</x:f>
        <x:v>0.32683402208946444</x:v>
      </x:c>
      <x:c r="G19" s="21"/>
      <x:c r="H19" s="21" t="n">
        <x:f>(MAX((((1+0*'01_Inputs'!$C$5))*((2*((($A$19)*('01_Inputs'!$C$8)))*('01_Inputs'!$C$10)*(((('01_Inputs'!$C$12)*('01_Inputs'!$C$11)))+2*((('01_Inputs'!$C$13)*('01_Inputs'!$C$11))))))/(('01_Inputs'!$C$31)*('02_HW'!$C$6))*('02_HW'!$C$10)),(((1+0*'01_Inputs'!$C$5))*(((((($A$19)*('01_Inputs'!$C$8)))*('01_Inputs'!$C$10)*('01_Inputs'!$C$14)+('01_Inputs'!$C$10)*(((('01_Inputs'!$C$12)*('01_Inputs'!$C$11)))+2*((('01_Inputs'!$C$13)*('01_Inputs'!$C$11))))*('01_Inputs'!$C$15)))+((0*'01_Inputs'!$C$5))+((((($A$19)*('01_Inputs'!$C$8)))*((('01_Inputs'!$C$12)*('01_Inputs'!$C$11)))*('01_Inputs'!$C$14))))/(('01_Inputs'!$C$32)*('02_HW'!$C$7))*('02_HW'!$C$10)))+((1+0*'01_Inputs'!$C$5))*('02_HW'!$C$9)*('02_HW'!$C$10))</x:f>
        <x:v>0.06011705313432836</x:v>
      </x:c>
      <x:c r="I19" s="21" t="n">
        <x:f>(MAX((((1+0*'01_Inputs'!$C$5))*((0*'01_Inputs'!$C$5))/(('01_Inputs'!$C$31)*('02_HW'!$C$6))*('02_HW'!$C$10)),(((1+0*'01_Inputs'!$C$5))*(((0*'01_Inputs'!$C$5))+((2*((($A$19)*('01_Inputs'!$C$8)))*((('01_Inputs'!$C$13)*('01_Inputs'!$C$11)))*('01_Inputs'!$C$16)))+((0*'01_Inputs'!$C$5)))/(('01_Inputs'!$C$32)*('02_HW'!$C$7))*('02_HW'!$C$10)))+((1+0*'01_Inputs'!$C$5))*('02_HW'!$C$9)*('02_HW'!$C$10))</x:f>
        <x:v>0.000019562985074626863</x:v>
      </x:c>
      <x:c r="J19" s="21" t="n">
        <x:f>(MAX((((1+0*'01_Inputs'!$C$5))*((0*'01_Inputs'!$C$5))/(('01_Inputs'!$C$31)*('02_HW'!$C$6))*('02_HW'!$C$10)),(((1+0*'01_Inputs'!$C$5))*(((((($A$19)*('01_Inputs'!$C$8)))*((('01_Inputs'!$C$12)*('01_Inputs'!$C$11)))*('01_Inputs'!$C$14)))+((0*'01_Inputs'!$C$5))+((0*'01_Inputs'!$C$5)))/(('01_Inputs'!$C$32)*('02_HW'!$C$7))*('02_HW'!$C$10)))+((1+0*'01_Inputs'!$C$5))*('02_HW'!$C$9)*('02_HW'!$C$10))</x:f>
        <x:v>0.000009781492537313432</x:v>
      </x:c>
      <x:c r="K19" s="21" t="n">
        <x:f>(MAX((((1+0*'01_Inputs'!$C$5))*((4*((($A$19)*('01_Inputs'!$C$12)*('01_Inputs'!$C$8)*('01_Inputs'!$C$9)))*('01_Inputs'!$C$11)+('01_Inputs'!$C$22)*((($A$19)*('01_Inputs'!$C$12)*('01_Inputs'!$C$8)*('01_Inputs'!$C$9)))))/(('01_Inputs'!$C$31)*('02_HW'!$C$6))*('02_HW'!$C$10)),(((1+0*'01_Inputs'!$C$5))*(((2*($A$19)*('01_Inputs'!$C$9)*((('01_Inputs'!$C$13)*('01_Inputs'!$C$11)))*('01_Inputs'!$C$16)*('01_Inputs'!$C$21)))+((IF(('01_Inputs'!$C$19)=1,(((($A$19)*('01_Inputs'!$C$8)))*((('01_Inputs'!$C$12)*('01_Inputs'!$C$11)))*('01_Inputs'!$C$14)),0)))+((IF(('01_Inputs'!$C$19)=1,0,($A$19)*('01_Inputs'!$C$8)*('01_Inputs'!$C$12)*('01_Inputs'!$C$19)*(('01_Inputs'!$C$11)*('01_Inputs'!$C$17)+('01_Inputs'!$C$18))))))/(('01_Inputs'!$C$32)*('02_HW'!$C$7))*('02_HW'!$C$10)))+((1+0*'01_Inputs'!$C$5))*('02_HW'!$C$9)*('02_HW'!$C$10))</x:f>
        <x:v>2.5666832047761194</x:v>
      </x:c>
      <x:c r="L19" s="21" t="n">
        <x:f>(MAX((((IF(('01_Inputs'!$C$19)&gt;1,1,0)+0*'01_Inputs'!$C$5))*((0*'01_Inputs'!$C$5))/(('01_Inputs'!$C$31)*('02_HW'!$C$6))*('02_HW'!$C$10)),(((IF(('01_Inputs'!$C$19)&gt;1,1,0)+0*'01_Inputs'!$C$5))*(((IF(('01_Inputs'!$C$19)=1,0,($A$19)*('01_Inputs'!$C$8)*('01_Inputs'!$C$12)*('01_Inputs'!$C$19)*(('01_Inputs'!$C$11)*('01_Inputs'!$C$17)+('01_Inputs'!$C$18)))))+((((($A$19)*('01_Inputs'!$C$8)))*((('01_Inputs'!$C$12)*('01_Inputs'!$C$11)))*('01_Inputs'!$C$14)))+((0*'01_Inputs'!$C$5)))/(('01_Inputs'!$C$32)*('02_HW'!$C$7))*('02_HW'!$C$10)))+((IF(('01_Inputs'!$C$19)&gt;1,1,0)+0*'01_Inputs'!$C$5))*('02_HW'!$C$9)*('02_HW'!$C$10))</x:f>
        <x:v>0.002533406567164179</x:v>
      </x:c>
      <x:c r="M19" s="21" t="n">
        <x:f>(MAX((((1+0*'01_Inputs'!$C$5))*((2*((($A$19)*('01_Inputs'!$C$8)))*((('01_Inputs'!$C$12)*('01_Inputs'!$C$11)))*('01_Inputs'!$C$10)))/(('01_Inputs'!$C$31)*('02_HW'!$C$6))*('02_HW'!$C$10)),(((1+0*'01_Inputs'!$C$5))*(((((($A$19)*('01_Inputs'!$C$8)))*((('01_Inputs'!$C$12)*('01_Inputs'!$C$11)))*('01_Inputs'!$C$14)+((('01_Inputs'!$C$12)*('01_Inputs'!$C$11)))*('01_Inputs'!$C$10)*('01_Inputs'!$C$15)))+((0*'01_Inputs'!$C$5))+((((($A$19)*('01_Inputs'!$C$8)))*('01_Inputs'!$C$10)*('01_Inputs'!$C$14))))/(('01_Inputs'!$C$32)*('02_HW'!$C$7))*('02_HW'!$C$10)))+((1+0*'01_Inputs'!$C$5))*('02_HW'!$C$9)*('02_HW'!$C$10))</x:f>
        <x:v>0.020052059701492535</x:v>
      </x:c>
      <x:c r="N19" s="21" t="n">
        <x:f>(MAX((((1+0*'01_Inputs'!$C$5))*((2*((($A$19)*('01_Inputs'!$C$8)))*('01_Inputs'!$C$10)*('01_Inputs'!$C$23)+('01_Inputs'!$C$27)*((($A$19)*('01_Inputs'!$C$8)))*('01_Inputs'!$C$23)))/(('01_Inputs'!$C$31)*('02_HW'!$C$6))*('02_HW'!$C$10)),(((1+0*'01_Inputs'!$C$5))*(((((((($A$19)*('01_Inputs'!$C$8)))*('01_Inputs'!$C$10)*('01_Inputs'!$C$14)))+('01_Inputs'!$C$10)*('01_Inputs'!$C$23)*('01_Inputs'!$C$15)))+((0*'01_Inputs'!$C$5))+((((($A$19)*('01_Inputs'!$C$8)))*('01_Inputs'!$C$24)*('01_Inputs'!$C$28))))/(('01_Inputs'!$C$32)*('02_HW'!$C$7))*('02_HW'!$C$10)))+((1+0*'01_Inputs'!$C$5))*('02_HW'!$C$9)*('02_HW'!$C$10))</x:f>
        <x:v>0.00032279880597014924</x:v>
      </x:c>
      <x:c r="O19" s="21" t="n">
        <x:f>(MAX((((1+0*'01_Inputs'!$C$5))*((0*'01_Inputs'!$C$5))/(('01_Inputs'!$C$31)*('02_HW'!$C$6))*('02_HW'!$C$10)),(((1+0*'01_Inputs'!$C$5))*(((((((($A$19)*('01_Inputs'!$C$8)))*('01_Inputs'!$C$10)*('01_Inputs'!$C$14)))+((((($A$19)*('01_Inputs'!$C$8)))*('01_Inputs'!$C$24)*('01_Inputs'!$C$28)))))+((0*'01_Inputs'!$C$5))+((((($A$19)*('01_Inputs'!$C$8)))*('01_Inputs'!$C$24)*('01_Inputs'!$C$10)*('01_Inputs'!$C$14))))/(('01_Inputs'!$C$32)*('02_HW'!$C$7))*('02_HW'!$C$10)))+((1+0*'01_Inputs'!$C$5))*('02_HW'!$C$9)*('02_HW'!$C$10))</x:f>
        <x:v>0.000019572537313432837</x:v>
      </x:c>
      <x:c r="P19" s="21" t="n">
        <x:f>(MAX((((1+0*'01_Inputs'!$C$5))*((2*((($A$19)*('01_Inputs'!$C$8)))*('01_Inputs'!$C$24)*('01_Inputs'!$C$10)*('01_Inputs'!$C$25)))/(('01_Inputs'!$C$31)*('02_HW'!$C$6))*('02_HW'!$C$10)),(((1+0*'01_Inputs'!$C$5))*(((((((($A$19)*('01_Inputs'!$C$8)))*('01_Inputs'!$C$24)*('01_Inputs'!$C$10)*('01_Inputs'!$C$14)))+((((IF(('01_Inputs'!$C$29)&gt;0,('01_Inputs'!$C$29),('01_Inputs'!$C$23)*(1-POWER(1-1/('01_Inputs'!$C$23),((($A$19)*('01_Inputs'!$C$8)))*('01_Inputs'!$C$24))))))*('01_Inputs'!$C$10)*('01_Inputs'!$C$25)*('01_Inputs'!$C$15)*('01_Inputs'!$C$30)))))+((0*'01_Inputs'!$C$5))+((IF(('01_Inputs'!$C$34)=1,0,((((($A$19)*('01_Inputs'!$C$8)))*('01_Inputs'!$C$24)*('01_Inputs'!$C$25)*('01_Inputs'!$C$14)))))))/(('01_Inputs'!$C$32)*('02_HW'!$C$7))*('02_HW'!$C$10)))+((1+0*'01_Inputs'!$C$5))*('02_HW'!$C$9)*('02_HW'!$C$10))</x:f>
        <x:v>0.15842103402985075</x:v>
      </x:c>
      <x:c r="Q19" s="21" t="n">
        <x:f>(MAX((((1+0*'01_Inputs'!$C$5))*((2*((($A$19)*('01_Inputs'!$C$8)))*('01_Inputs'!$C$24)*('01_Inputs'!$C$10)*('01_Inputs'!$C$25)))/(('01_Inputs'!$C$31)*('02_HW'!$C$6))*('02_HW'!$C$10)),(((1+0*'01_Inputs'!$C$5))*(((((((IF(('01_Inputs'!$C$29)&gt;0,('01_Inputs'!$C$29),('01_Inputs'!$C$23)*(1-POWER(1-1/('01_Inputs'!$C$23),((($A$19)*('01_Inputs'!$C$8)))*('01_Inputs'!$C$24))))))*('01_Inputs'!$C$10)*('01_Inputs'!$C$25)*('01_Inputs'!$C$15)*('01_Inputs'!$C$30)))+(IF(('01_Inputs'!$C$34)=1,0,((((($A$19)*('01_Inputs'!$C$8)))*('01_Inputs'!$C$24)*('01_Inputs'!$C$10)*('01_Inputs'!$C$14)))))))+((0*'01_Inputs'!$C$5))+((IF(('01_Inputs'!$C$34)=1,0,((((($A$19)*('01_Inputs'!$C$8)))*('01_Inputs'!$C$24)*('01_Inputs'!$C$25)*('01_Inputs'!$C$14)))))))/(('01_Inputs'!$C$32)*('02_HW'!$C$7))*('02_HW'!$C$10)))+((1+0*'01_Inputs'!$C$5))*('02_HW'!$C$9)*('02_HW'!$C$10))</x:f>
        <x:v>0.15842103402985075</x:v>
      </x:c>
      <x:c r="R19" s="21" t="n">
        <x:f>(MAX((((1+0*'01_Inputs'!$C$5))*((((($A$19)*('01_Inputs'!$C$8)))*('01_Inputs'!$C$24)*('01_Inputs'!$C$25)*('01_Inputs'!$C$33)))/(('01_Inputs'!$C$31)*('02_HW'!$C$6))*('02_HW'!$C$10)),(((1+0*'01_Inputs'!$C$5))*(((IF(('01_Inputs'!$C$34)=1,0,(2*((((($A$19)*('01_Inputs'!$C$8)))*('01_Inputs'!$C$24)*('01_Inputs'!$C$25)*('01_Inputs'!$C$14)))))))+((0*'01_Inputs'!$C$5))+((IF(('01_Inputs'!$C$34)=1,0,((((($A$19)*('01_Inputs'!$C$8)))*('01_Inputs'!$C$24)*('01_Inputs'!$C$25)*('01_Inputs'!$C$14)))))))/(('01_Inputs'!$C$32)*('02_HW'!$C$7))*('02_HW'!$C$10)))+((1+0*'01_Inputs'!$C$5))*('02_HW'!$C$9)*('02_HW'!$C$10))</x:f>
        <x:v>0.000058688955223880597</x:v>
      </x:c>
      <x:c r="S19" s="21" t="n">
        <x:f>(MAX((((1+0*'01_Inputs'!$C$5))*((2*((($A$19)*('01_Inputs'!$C$8)))*('01_Inputs'!$C$24)*('01_Inputs'!$C$10)*('01_Inputs'!$C$25)))/(('01_Inputs'!$C$31)*('02_HW'!$C$6))*('02_HW'!$C$10)),(((1+0*'01_Inputs'!$C$5))*(((((((IF(('01_Inputs'!$C$29)&gt;0,('01_Inputs'!$C$29),('01_Inputs'!$C$23)*(1-POWER(1-1/('01_Inputs'!$C$23),((($A$19)*('01_Inputs'!$C$8)))*('01_Inputs'!$C$24))))))*('01_Inputs'!$C$10)*('01_Inputs'!$C$25)*('01_Inputs'!$C$15)*('01_Inputs'!$C$30)))+(IF(('01_Inputs'!$C$34)=1,0,((((($A$19)*('01_Inputs'!$C$8)))*('01_Inputs'!$C$24)*('01_Inputs'!$C$25)*('01_Inputs'!$C$14)))))))+((0*'01_Inputs'!$C$5))+((((($A$19)*('01_Inputs'!$C$8)))*('01_Inputs'!$C$24)*('01_Inputs'!$C$10)*('01_Inputs'!$C$14))))/(('01_Inputs'!$C$32)*('02_HW'!$C$7))*('02_HW'!$C$10)))+((1+0*'01_Inputs'!$C$5))*('02_HW'!$C$9)*('02_HW'!$C$10))</x:f>
        <x:v>0.15842103402985075</x:v>
      </x:c>
      <x:c r="T19" s="21" t="n">
        <x:f>(MAX((((1+0*'01_Inputs'!$C$5))*((0*'01_Inputs'!$C$5))/(('01_Inputs'!$C$31)*('02_HW'!$C$6))*('02_HW'!$C$10)),(((1+0*'01_Inputs'!$C$5))*(((((($A$19)*('01_Inputs'!$C$8)))*('01_Inputs'!$C$24)*('01_Inputs'!$C$10)*('01_Inputs'!$C$14)))+((((($A$19)*('01_Inputs'!$C$8)))*('01_Inputs'!$C$10)*('01_Inputs'!$C$14)))+((0*'01_Inputs'!$C$5)))/(('01_Inputs'!$C$32)*('02_HW'!$C$7))*('02_HW'!$C$10)))+((1+0*'01_Inputs'!$C$5))*('02_HW'!$C$9)*('02_HW'!$C$10))</x:f>
        <x:v>0.000019562985074626863</x:v>
      </x:c>
    </x:row>
    <x:row r="20">
      <x:c r="A20" s="83" t="n">
        <x:f>'01_Inputs'!$E$65+0*('01_Inputs'!$C$5)</x:f>
        <x:v>8</x:v>
      </x:c>
      <x:c r="B20" s="66" t="n">
        <x:f>SUM(H20:T20)+0*('01_Inputs'!$C$5)</x:f>
        <x:v>6.15507848229033</x:v>
      </x:c>
      <x:c r="C20" s="66" t="n">
        <x:f>(('21_HOPE_Decode'!$B$8)-('21_HOPE_Decode'!$Q$12)-((((SUM('21_HOPE_Decode'!$F$12:$F$45)-'21_HOPE_Decode'!$F$12))*('02_HW'!$C$9)*('02_HW'!$C$10))))*($A$20)/('01_Inputs'!$C$5)+((((SUM('21_HOPE_Decode'!$F$12:$F$45)-'21_HOPE_Decode'!$F$12))*('02_HW'!$C$9)*('02_HW'!$C$10)))+((MAX((((1+0*'01_Inputs'!$C$5))*((2*((($A$20)*('01_Inputs'!$C$8)))*('01_Inputs'!$C$10)*('01_Inputs'!$C$10)))/(('01_Inputs'!$C$31)*('02_HW'!$C$6))*('02_HW'!$C$10)),(((1+0*'01_Inputs'!$C$5))*(((((((($A$20)*('01_Inputs'!$C$8)))*('01_Inputs'!$C$10)*('01_Inputs'!$C$14)))+('01_Inputs'!$C$10)*('01_Inputs'!$C$10)*('01_Inputs'!$C$15)))+((0*'01_Inputs'!$C$5))+((((($A$20)*('01_Inputs'!$C$8)))*('01_Inputs'!$C$10)*('01_Inputs'!$C$14))))/(('01_Inputs'!$C$32)*('02_HW'!$C$7))*('02_HW'!$C$10)))+((1+0*'01_Inputs'!$C$5))*('02_HW'!$C$9)*('02_HW'!$C$10)))</x:f>
        <x:v>19.103428237578957</x:v>
      </x:c>
      <x:c r="D20" s="66" t="n">
        <x:f>(2*($A$20)*('01_Inputs'!$C$9)*('01_Inputs'!$C$13)*('01_Inputs'!$C$11)*('01_Inputs'!$C$16))/'02_HW'!$C$11</x:f>
        <x:v>16</x:v>
      </x:c>
      <x:c r="E20" s="66" t="n">
        <x:f>('21_HOPE_Decode'!$E$3)*($A$20)/('01_Inputs'!$C$5)/'02_HW'!$C$11</x:f>
        <x:v>23.5006103515625</x:v>
      </x:c>
      <x:c r="F20" s="66" t="n">
        <x:f>B20/C20+0*('01_Inputs'!$C$5)</x:f>
        <x:v>0.3221975870374136</x:v>
      </x:c>
      <x:c r="G20" s="21"/>
      <x:c r="H20" s="21" t="n">
        <x:f>(MAX((((1+0*'01_Inputs'!$C$5))*((2*((($A$20)*('01_Inputs'!$C$8)))*('01_Inputs'!$C$10)*(((('01_Inputs'!$C$12)*('01_Inputs'!$C$11)))+2*((('01_Inputs'!$C$13)*('01_Inputs'!$C$11))))))/(('01_Inputs'!$C$31)*('02_HW'!$C$6))*('02_HW'!$C$10)),(((1+0*'01_Inputs'!$C$5))*(((((($A$20)*('01_Inputs'!$C$8)))*('01_Inputs'!$C$10)*('01_Inputs'!$C$14)+('01_Inputs'!$C$10)*(((('01_Inputs'!$C$12)*('01_Inputs'!$C$11)))+2*((('01_Inputs'!$C$13)*('01_Inputs'!$C$11))))*('01_Inputs'!$C$15)))+((0*'01_Inputs'!$C$5))+((((($A$20)*('01_Inputs'!$C$8)))*((('01_Inputs'!$C$12)*('01_Inputs'!$C$11)))*('01_Inputs'!$C$14))))/(('01_Inputs'!$C$32)*('02_HW'!$C$7))*('02_HW'!$C$10)))+((1+0*'01_Inputs'!$C$5))*('02_HW'!$C$9)*('02_HW'!$C$10))</x:f>
        <x:v>0.060136616119402984</x:v>
      </x:c>
      <x:c r="I20" s="21" t="n">
        <x:f>(MAX((((1+0*'01_Inputs'!$C$5))*((0*'01_Inputs'!$C$5))/(('01_Inputs'!$C$31)*('02_HW'!$C$6))*('02_HW'!$C$10)),(((1+0*'01_Inputs'!$C$5))*(((0*'01_Inputs'!$C$5))+((2*((($A$20)*('01_Inputs'!$C$8)))*((('01_Inputs'!$C$13)*('01_Inputs'!$C$11)))*('01_Inputs'!$C$16)))+((0*'01_Inputs'!$C$5)))/(('01_Inputs'!$C$32)*('02_HW'!$C$7))*('02_HW'!$C$10)))+((1+0*'01_Inputs'!$C$5))*('02_HW'!$C$9)*('02_HW'!$C$10))</x:f>
        <x:v>0.000039125970149253726</x:v>
      </x:c>
      <x:c r="J20" s="21" t="n">
        <x:f>(MAX((((1+0*'01_Inputs'!$C$5))*((0*'01_Inputs'!$C$5))/(('01_Inputs'!$C$31)*('02_HW'!$C$6))*('02_HW'!$C$10)),(((1+0*'01_Inputs'!$C$5))*(((((($A$20)*('01_Inputs'!$C$8)))*((('01_Inputs'!$C$12)*('01_Inputs'!$C$11)))*('01_Inputs'!$C$14)))+((0*'01_Inputs'!$C$5))+((0*'01_Inputs'!$C$5)))/(('01_Inputs'!$C$32)*('02_HW'!$C$7))*('02_HW'!$C$10)))+((1+0*'01_Inputs'!$C$5))*('02_HW'!$C$9)*('02_HW'!$C$10))</x:f>
        <x:v>0.000019562985074626863</x:v>
      </x:c>
      <x:c r="K20" s="21" t="n">
        <x:f>(MAX((((1+0*'01_Inputs'!$C$5))*((4*((($A$20)*('01_Inputs'!$C$12)*('01_Inputs'!$C$8)*('01_Inputs'!$C$9)))*('01_Inputs'!$C$11)+('01_Inputs'!$C$22)*((($A$20)*('01_Inputs'!$C$12)*('01_Inputs'!$C$8)*('01_Inputs'!$C$9)))))/(('01_Inputs'!$C$31)*('02_HW'!$C$6))*('02_HW'!$C$10)),(((1+0*'01_Inputs'!$C$5))*(((2*($A$20)*('01_Inputs'!$C$9)*((('01_Inputs'!$C$13)*('01_Inputs'!$C$11)))*('01_Inputs'!$C$16)*('01_Inputs'!$C$21)))+((IF(('01_Inputs'!$C$19)=1,(((($A$20)*('01_Inputs'!$C$8)))*((('01_Inputs'!$C$12)*('01_Inputs'!$C$11)))*('01_Inputs'!$C$14)),0)))+((IF(('01_Inputs'!$C$19)=1,0,($A$20)*('01_Inputs'!$C$8)*('01_Inputs'!$C$12)*('01_Inputs'!$C$19)*(('01_Inputs'!$C$11)*('01_Inputs'!$C$17)+('01_Inputs'!$C$18))))))/(('01_Inputs'!$C$32)*('02_HW'!$C$7))*('02_HW'!$C$10)))+((1+0*'01_Inputs'!$C$5))*('02_HW'!$C$9)*('02_HW'!$C$10))</x:f>
        <x:v>5.133366409552239</x:v>
      </x:c>
      <x:c r="L20" s="21" t="n">
        <x:f>(MAX((((IF(('01_Inputs'!$C$19)&gt;1,1,0)+0*'01_Inputs'!$C$5))*((0*'01_Inputs'!$C$5))/(('01_Inputs'!$C$31)*('02_HW'!$C$6))*('02_HW'!$C$10)),(((IF(('01_Inputs'!$C$19)&gt;1,1,0)+0*'01_Inputs'!$C$5))*(((IF(('01_Inputs'!$C$19)=1,0,($A$20)*('01_Inputs'!$C$8)*('01_Inputs'!$C$12)*('01_Inputs'!$C$19)*(('01_Inputs'!$C$11)*('01_Inputs'!$C$17)+('01_Inputs'!$C$18)))))+((((($A$20)*('01_Inputs'!$C$8)))*((('01_Inputs'!$C$12)*('01_Inputs'!$C$11)))*('01_Inputs'!$C$14)))+((0*'01_Inputs'!$C$5)))/(('01_Inputs'!$C$32)*('02_HW'!$C$7))*('02_HW'!$C$10)))+((IF(('01_Inputs'!$C$19)&gt;1,1,0)+0*'01_Inputs'!$C$5))*('02_HW'!$C$9)*('02_HW'!$C$10))</x:f>
        <x:v>0.005066813134328358</x:v>
      </x:c>
      <x:c r="M20" s="21" t="n">
        <x:f>(MAX((((1+0*'01_Inputs'!$C$5))*((2*((($A$20)*('01_Inputs'!$C$8)))*((('01_Inputs'!$C$12)*('01_Inputs'!$C$11)))*('01_Inputs'!$C$10)))/(('01_Inputs'!$C$31)*('02_HW'!$C$6))*('02_HW'!$C$10)),(((1+0*'01_Inputs'!$C$5))*(((((($A$20)*('01_Inputs'!$C$8)))*((('01_Inputs'!$C$12)*('01_Inputs'!$C$11)))*('01_Inputs'!$C$14)+((('01_Inputs'!$C$12)*('01_Inputs'!$C$11)))*('01_Inputs'!$C$10)*('01_Inputs'!$C$15)))+((0*'01_Inputs'!$C$5))+((((($A$20)*('01_Inputs'!$C$8)))*('01_Inputs'!$C$10)*('01_Inputs'!$C$14))))/(('01_Inputs'!$C$32)*('02_HW'!$C$7))*('02_HW'!$C$10)))+((1+0*'01_Inputs'!$C$5))*('02_HW'!$C$9)*('02_HW'!$C$10))</x:f>
        <x:v>0.02007162268656716</x:v>
      </x:c>
      <x:c r="N20" s="21" t="n">
        <x:f>(MAX((((1+0*'01_Inputs'!$C$5))*((2*((($A$20)*('01_Inputs'!$C$8)))*('01_Inputs'!$C$10)*('01_Inputs'!$C$23)+('01_Inputs'!$C$27)*((($A$20)*('01_Inputs'!$C$8)))*('01_Inputs'!$C$23)))/(('01_Inputs'!$C$31)*('02_HW'!$C$6))*('02_HW'!$C$10)),(((1+0*'01_Inputs'!$C$5))*(((((((($A$20)*('01_Inputs'!$C$8)))*('01_Inputs'!$C$10)*('01_Inputs'!$C$14)))+('01_Inputs'!$C$10)*('01_Inputs'!$C$23)*('01_Inputs'!$C$15)))+((0*'01_Inputs'!$C$5))+((((($A$20)*('01_Inputs'!$C$8)))*('01_Inputs'!$C$24)*('01_Inputs'!$C$28))))/(('01_Inputs'!$C$32)*('02_HW'!$C$7))*('02_HW'!$C$10)))+((1+0*'01_Inputs'!$C$5))*('02_HW'!$C$9)*('02_HW'!$C$10))</x:f>
        <x:v>0.0003325898507462687</x:v>
      </x:c>
      <x:c r="O20" s="21" t="n">
        <x:f>(MAX((((1+0*'01_Inputs'!$C$5))*((0*'01_Inputs'!$C$5))/(('01_Inputs'!$C$31)*('02_HW'!$C$6))*('02_HW'!$C$10)),(((1+0*'01_Inputs'!$C$5))*(((((((($A$20)*('01_Inputs'!$C$8)))*('01_Inputs'!$C$10)*('01_Inputs'!$C$14)))+((((($A$20)*('01_Inputs'!$C$8)))*('01_Inputs'!$C$24)*('01_Inputs'!$C$28)))))+((0*'01_Inputs'!$C$5))+((((($A$20)*('01_Inputs'!$C$8)))*('01_Inputs'!$C$24)*('01_Inputs'!$C$10)*('01_Inputs'!$C$14))))/(('01_Inputs'!$C$32)*('02_HW'!$C$7))*('02_HW'!$C$10)))+((1+0*'01_Inputs'!$C$5))*('02_HW'!$C$9)*('02_HW'!$C$10))</x:f>
        <x:v>0.000039145074626865673</x:v>
      </x:c>
      <x:c r="P20" s="21" t="n">
        <x:f>(MAX((((1+0*'01_Inputs'!$C$5))*((2*((($A$20)*('01_Inputs'!$C$8)))*('01_Inputs'!$C$24)*('01_Inputs'!$C$10)*('01_Inputs'!$C$25)))/(('01_Inputs'!$C$31)*('02_HW'!$C$6))*('02_HW'!$C$10)),(((1+0*'01_Inputs'!$C$5))*(((((((($A$20)*('01_Inputs'!$C$8)))*('01_Inputs'!$C$24)*('01_Inputs'!$C$10)*('01_Inputs'!$C$14)))+((((IF(('01_Inputs'!$C$29)&gt;0,('01_Inputs'!$C$29),('01_Inputs'!$C$23)*(1-POWER(1-1/('01_Inputs'!$C$23),((($A$20)*('01_Inputs'!$C$8)))*('01_Inputs'!$C$24))))))*('01_Inputs'!$C$10)*('01_Inputs'!$C$25)*('01_Inputs'!$C$15)*('01_Inputs'!$C$30)))))+((0*'01_Inputs'!$C$5))+((IF(('01_Inputs'!$C$34)=1,0,((((($A$20)*('01_Inputs'!$C$8)))*('01_Inputs'!$C$24)*('01_Inputs'!$C$25)*('01_Inputs'!$C$14)))))))/(('01_Inputs'!$C$32)*('02_HW'!$C$7))*('02_HW'!$C$10)))+((1+0*'01_Inputs'!$C$5))*('02_HW'!$C$9)*('02_HW'!$C$10))</x:f>
        <x:v>0.3119500310121997</x:v>
      </x:c>
      <x:c r="Q20" s="21" t="n">
        <x:f>(MAX((((1+0*'01_Inputs'!$C$5))*((2*((($A$20)*('01_Inputs'!$C$8)))*('01_Inputs'!$C$24)*('01_Inputs'!$C$10)*('01_Inputs'!$C$25)))/(('01_Inputs'!$C$31)*('02_HW'!$C$6))*('02_HW'!$C$10)),(((1+0*'01_Inputs'!$C$5))*(((((((IF(('01_Inputs'!$C$29)&gt;0,('01_Inputs'!$C$29),('01_Inputs'!$C$23)*(1-POWER(1-1/('01_Inputs'!$C$23),((($A$20)*('01_Inputs'!$C$8)))*('01_Inputs'!$C$24))))))*('01_Inputs'!$C$10)*('01_Inputs'!$C$25)*('01_Inputs'!$C$15)*('01_Inputs'!$C$30)))+(IF(('01_Inputs'!$C$34)=1,0,((((($A$20)*('01_Inputs'!$C$8)))*('01_Inputs'!$C$24)*('01_Inputs'!$C$10)*('01_Inputs'!$C$14)))))))+((0*'01_Inputs'!$C$5))+((IF(('01_Inputs'!$C$34)=1,0,((((($A$20)*('01_Inputs'!$C$8)))*('01_Inputs'!$C$24)*('01_Inputs'!$C$25)*('01_Inputs'!$C$14)))))))/(('01_Inputs'!$C$32)*('02_HW'!$C$7))*('02_HW'!$C$10)))+((1+0*'01_Inputs'!$C$5))*('02_HW'!$C$9)*('02_HW'!$C$10))</x:f>
        <x:v>0.3119500310121997</x:v>
      </x:c>
      <x:c r="R20" s="21" t="n">
        <x:f>(MAX((((1+0*'01_Inputs'!$C$5))*((((($A$20)*('01_Inputs'!$C$8)))*('01_Inputs'!$C$24)*('01_Inputs'!$C$25)*('01_Inputs'!$C$33)))/(('01_Inputs'!$C$31)*('02_HW'!$C$6))*('02_HW'!$C$10)),(((1+0*'01_Inputs'!$C$5))*(((IF(('01_Inputs'!$C$34)=1,0,(2*((((($A$20)*('01_Inputs'!$C$8)))*('01_Inputs'!$C$24)*('01_Inputs'!$C$25)*('01_Inputs'!$C$14)))))))+((0*'01_Inputs'!$C$5))+((IF(('01_Inputs'!$C$34)=1,0,((((($A$20)*('01_Inputs'!$C$8)))*('01_Inputs'!$C$24)*('01_Inputs'!$C$25)*('01_Inputs'!$C$14)))))))/(('01_Inputs'!$C$32)*('02_HW'!$C$7))*('02_HW'!$C$10)))+((1+0*'01_Inputs'!$C$5))*('02_HW'!$C$9)*('02_HW'!$C$10))</x:f>
        <x:v>0.00011737791044776119</x:v>
      </x:c>
      <x:c r="S20" s="21" t="n">
        <x:f>(MAX((((1+0*'01_Inputs'!$C$5))*((2*((($A$20)*('01_Inputs'!$C$8)))*('01_Inputs'!$C$24)*('01_Inputs'!$C$10)*('01_Inputs'!$C$25)))/(('01_Inputs'!$C$31)*('02_HW'!$C$6))*('02_HW'!$C$10)),(((1+0*'01_Inputs'!$C$5))*(((((((IF(('01_Inputs'!$C$29)&gt;0,('01_Inputs'!$C$29),('01_Inputs'!$C$23)*(1-POWER(1-1/('01_Inputs'!$C$23),((($A$20)*('01_Inputs'!$C$8)))*('01_Inputs'!$C$24))))))*('01_Inputs'!$C$10)*('01_Inputs'!$C$25)*('01_Inputs'!$C$15)*('01_Inputs'!$C$30)))+(IF(('01_Inputs'!$C$34)=1,0,((((($A$20)*('01_Inputs'!$C$8)))*('01_Inputs'!$C$24)*('01_Inputs'!$C$25)*('01_Inputs'!$C$14)))))))+((0*'01_Inputs'!$C$5))+((((($A$20)*('01_Inputs'!$C$8)))*('01_Inputs'!$C$24)*('01_Inputs'!$C$10)*('01_Inputs'!$C$14))))/(('01_Inputs'!$C$32)*('02_HW'!$C$7))*('02_HW'!$C$10)))+((1+0*'01_Inputs'!$C$5))*('02_HW'!$C$9)*('02_HW'!$C$10))</x:f>
        <x:v>0.3119500310121997</x:v>
      </x:c>
      <x:c r="T20" s="21" t="n">
        <x:f>(MAX((((1+0*'01_Inputs'!$C$5))*((0*'01_Inputs'!$C$5))/(('01_Inputs'!$C$31)*('02_HW'!$C$6))*('02_HW'!$C$10)),(((1+0*'01_Inputs'!$C$5))*(((((($A$20)*('01_Inputs'!$C$8)))*('01_Inputs'!$C$24)*('01_Inputs'!$C$10)*('01_Inputs'!$C$14)))+((((($A$20)*('01_Inputs'!$C$8)))*('01_Inputs'!$C$10)*('01_Inputs'!$C$14)))+((0*'01_Inputs'!$C$5)))/(('01_Inputs'!$C$32)*('02_HW'!$C$7))*('02_HW'!$C$10)))+((1+0*'01_Inputs'!$C$5))*('02_HW'!$C$9)*('02_HW'!$C$10))</x:f>
        <x:v>0.000039125970149253726</x:v>
      </x:c>
    </x:row>
    <x:row r="21">
      <x:c r="A21" s="83" t="n">
        <x:f>'01_Inputs'!$F$65+0*('01_Inputs'!$C$5)</x:f>
        <x:v>16</x:v>
      </x:c>
      <x:c r="B21" s="66" t="n">
        <x:f>SUM(H21:T21)+0*('01_Inputs'!$C$5)</x:f>
        <x:v>12.172808652893874</x:v>
      </x:c>
      <x:c r="C21" s="66" t="n">
        <x:f>(('21_HOPE_Decode'!$B$8)-('21_HOPE_Decode'!$Q$12)-((((SUM('21_HOPE_Decode'!$F$12:$F$45)-'21_HOPE_Decode'!$F$12))*('02_HW'!$C$9)*('02_HW'!$C$10))))*($A$21)/('01_Inputs'!$C$5)+((((SUM('21_HOPE_Decode'!$F$12:$F$45)-'21_HOPE_Decode'!$F$12))*('02_HW'!$C$9)*('02_HW'!$C$10)))+((MAX((((1+0*'01_Inputs'!$C$5))*((2*((($A$21)*('01_Inputs'!$C$8)))*('01_Inputs'!$C$10)*('01_Inputs'!$C$10)))/(('01_Inputs'!$C$31)*('02_HW'!$C$6))*('02_HW'!$C$10)),(((1+0*'01_Inputs'!$C$5))*(((((((($A$21)*('01_Inputs'!$C$8)))*('01_Inputs'!$C$10)*('01_Inputs'!$C$14)))+('01_Inputs'!$C$10)*('01_Inputs'!$C$10)*('01_Inputs'!$C$15)))+((0*'01_Inputs'!$C$5))+((((($A$21)*('01_Inputs'!$C$8)))*('01_Inputs'!$C$10)*('01_Inputs'!$C$14))))/(('01_Inputs'!$C$32)*('02_HW'!$C$7))*('02_HW'!$C$10)))+((1+0*'01_Inputs'!$C$5))*('02_HW'!$C$9)*('02_HW'!$C$10)))</x:f>
        <x:v>38.186823978441495</x:v>
      </x:c>
      <x:c r="D21" s="66" t="n">
        <x:f>(2*($A$21)*('01_Inputs'!$C$9)*('01_Inputs'!$C$13)*('01_Inputs'!$C$11)*('01_Inputs'!$C$16))/'02_HW'!$C$11</x:f>
        <x:v>32</x:v>
      </x:c>
      <x:c r="E21" s="66" t="n">
        <x:f>('21_HOPE_Decode'!$E$3)*($A$21)/('01_Inputs'!$C$5)/'02_HW'!$C$11</x:f>
        <x:v>47.001220703125</x:v>
      </x:c>
      <x:c r="F21" s="66" t="n">
        <x:f>B21/C21+0*('01_Inputs'!$C$5)</x:f>
        <x:v>0.318769863127818</x:v>
      </x:c>
      <x:c r="G21" s="21"/>
      <x:c r="H21" s="21" t="n">
        <x:f>(MAX((((1+0*'01_Inputs'!$C$5))*((2*((($A$21)*('01_Inputs'!$C$8)))*('01_Inputs'!$C$10)*(((('01_Inputs'!$C$12)*('01_Inputs'!$C$11)))+2*((('01_Inputs'!$C$13)*('01_Inputs'!$C$11))))))/(('01_Inputs'!$C$31)*('02_HW'!$C$6))*('02_HW'!$C$10)),(((1+0*'01_Inputs'!$C$5))*(((((($A$21)*('01_Inputs'!$C$8)))*('01_Inputs'!$C$10)*('01_Inputs'!$C$14)+('01_Inputs'!$C$10)*(((('01_Inputs'!$C$12)*('01_Inputs'!$C$11)))+2*((('01_Inputs'!$C$13)*('01_Inputs'!$C$11))))*('01_Inputs'!$C$15)))+((0*'01_Inputs'!$C$5))+((((($A$21)*('01_Inputs'!$C$8)))*((('01_Inputs'!$C$12)*('01_Inputs'!$C$11)))*('01_Inputs'!$C$14))))/(('01_Inputs'!$C$32)*('02_HW'!$C$7))*('02_HW'!$C$10)))+((1+0*'01_Inputs'!$C$5))*('02_HW'!$C$9)*('02_HW'!$C$10))</x:f>
        <x:v>0.060175742089552245</x:v>
      </x:c>
      <x:c r="I21" s="21" t="n">
        <x:f>(MAX((((1+0*'01_Inputs'!$C$5))*((0*'01_Inputs'!$C$5))/(('01_Inputs'!$C$31)*('02_HW'!$C$6))*('02_HW'!$C$10)),(((1+0*'01_Inputs'!$C$5))*(((0*'01_Inputs'!$C$5))+((2*((($A$21)*('01_Inputs'!$C$8)))*((('01_Inputs'!$C$13)*('01_Inputs'!$C$11)))*('01_Inputs'!$C$16)))+((0*'01_Inputs'!$C$5)))/(('01_Inputs'!$C$32)*('02_HW'!$C$7))*('02_HW'!$C$10)))+((1+0*'01_Inputs'!$C$5))*('02_HW'!$C$9)*('02_HW'!$C$10))</x:f>
        <x:v>0.00007825194029850745</x:v>
      </x:c>
      <x:c r="J21" s="21" t="n">
        <x:f>(MAX((((1+0*'01_Inputs'!$C$5))*((0*'01_Inputs'!$C$5))/(('01_Inputs'!$C$31)*('02_HW'!$C$6))*('02_HW'!$C$10)),(((1+0*'01_Inputs'!$C$5))*(((((($A$21)*('01_Inputs'!$C$8)))*((('01_Inputs'!$C$12)*('01_Inputs'!$C$11)))*('01_Inputs'!$C$14)))+((0*'01_Inputs'!$C$5))+((0*'01_Inputs'!$C$5)))/(('01_Inputs'!$C$32)*('02_HW'!$C$7))*('02_HW'!$C$10)))+((1+0*'01_Inputs'!$C$5))*('02_HW'!$C$9)*('02_HW'!$C$10))</x:f>
        <x:v>0.000039125970149253726</x:v>
      </x:c>
      <x:c r="K21" s="21" t="n">
        <x:f>(MAX((((1+0*'01_Inputs'!$C$5))*((4*((($A$21)*('01_Inputs'!$C$12)*('01_Inputs'!$C$8)*('01_Inputs'!$C$9)))*('01_Inputs'!$C$11)+('01_Inputs'!$C$22)*((($A$21)*('01_Inputs'!$C$12)*('01_Inputs'!$C$8)*('01_Inputs'!$C$9)))))/(('01_Inputs'!$C$31)*('02_HW'!$C$6))*('02_HW'!$C$10)),(((1+0*'01_Inputs'!$C$5))*(((2*($A$21)*('01_Inputs'!$C$9)*((('01_Inputs'!$C$13)*('01_Inputs'!$C$11)))*('01_Inputs'!$C$16)*('01_Inputs'!$C$21)))+((IF(('01_Inputs'!$C$19)=1,(((($A$21)*('01_Inputs'!$C$8)))*((('01_Inputs'!$C$12)*('01_Inputs'!$C$11)))*('01_Inputs'!$C$14)),0)))+((IF(('01_Inputs'!$C$19)=1,0,($A$21)*('01_Inputs'!$C$8)*('01_Inputs'!$C$12)*('01_Inputs'!$C$19)*(('01_Inputs'!$C$11)*('01_Inputs'!$C$17)+('01_Inputs'!$C$18))))))/(('01_Inputs'!$C$32)*('02_HW'!$C$7))*('02_HW'!$C$10)))+((1+0*'01_Inputs'!$C$5))*('02_HW'!$C$9)*('02_HW'!$C$10))</x:f>
        <x:v>10.266732819104478</x:v>
      </x:c>
      <x:c r="L21" s="21" t="n">
        <x:f>(MAX((((IF(('01_Inputs'!$C$19)&gt;1,1,0)+0*'01_Inputs'!$C$5))*((0*'01_Inputs'!$C$5))/(('01_Inputs'!$C$31)*('02_HW'!$C$6))*('02_HW'!$C$10)),(((IF(('01_Inputs'!$C$19)&gt;1,1,0)+0*'01_Inputs'!$C$5))*(((IF(('01_Inputs'!$C$19)=1,0,($A$21)*('01_Inputs'!$C$8)*('01_Inputs'!$C$12)*('01_Inputs'!$C$19)*(('01_Inputs'!$C$11)*('01_Inputs'!$C$17)+('01_Inputs'!$C$18)))))+((((($A$21)*('01_Inputs'!$C$8)))*((('01_Inputs'!$C$12)*('01_Inputs'!$C$11)))*('01_Inputs'!$C$14)))+((0*'01_Inputs'!$C$5)))/(('01_Inputs'!$C$32)*('02_HW'!$C$7))*('02_HW'!$C$10)))+((IF(('01_Inputs'!$C$19)&gt;1,1,0)+0*'01_Inputs'!$C$5))*('02_HW'!$C$9)*('02_HW'!$C$10))</x:f>
        <x:v>0.010133626268656716</x:v>
      </x:c>
      <x:c r="M21" s="21" t="n">
        <x:f>(MAX((((1+0*'01_Inputs'!$C$5))*((2*((($A$21)*('01_Inputs'!$C$8)))*((('01_Inputs'!$C$12)*('01_Inputs'!$C$11)))*('01_Inputs'!$C$10)))/(('01_Inputs'!$C$31)*('02_HW'!$C$6))*('02_HW'!$C$10)),(((1+0*'01_Inputs'!$C$5))*(((((($A$21)*('01_Inputs'!$C$8)))*((('01_Inputs'!$C$12)*('01_Inputs'!$C$11)))*('01_Inputs'!$C$14)+((('01_Inputs'!$C$12)*('01_Inputs'!$C$11)))*('01_Inputs'!$C$10)*('01_Inputs'!$C$15)))+((0*'01_Inputs'!$C$5))+((((($A$21)*('01_Inputs'!$C$8)))*('01_Inputs'!$C$10)*('01_Inputs'!$C$14))))/(('01_Inputs'!$C$32)*('02_HW'!$C$7))*('02_HW'!$C$10)))+((1+0*'01_Inputs'!$C$5))*('02_HW'!$C$9)*('02_HW'!$C$10))</x:f>
        <x:v>0.02011074865671642</x:v>
      </x:c>
      <x:c r="N21" s="21" t="n">
        <x:f>(MAX((((1+0*'01_Inputs'!$C$5))*((2*((($A$21)*('01_Inputs'!$C$8)))*('01_Inputs'!$C$10)*('01_Inputs'!$C$23)+('01_Inputs'!$C$27)*((($A$21)*('01_Inputs'!$C$8)))*('01_Inputs'!$C$23)))/(('01_Inputs'!$C$31)*('02_HW'!$C$6))*('02_HW'!$C$10)),(((1+0*'01_Inputs'!$C$5))*(((((((($A$21)*('01_Inputs'!$C$8)))*('01_Inputs'!$C$10)*('01_Inputs'!$C$14)))+('01_Inputs'!$C$10)*('01_Inputs'!$C$23)*('01_Inputs'!$C$15)))+((0*'01_Inputs'!$C$5))+((((($A$21)*('01_Inputs'!$C$8)))*('01_Inputs'!$C$24)*('01_Inputs'!$C$28))))/(('01_Inputs'!$C$32)*('02_HW'!$C$7))*('02_HW'!$C$10)))+((1+0*'01_Inputs'!$C$5))*('02_HW'!$C$9)*('02_HW'!$C$10))</x:f>
        <x:v>0.00035217194029850743</x:v>
      </x:c>
      <x:c r="O21" s="21" t="n">
        <x:f>(MAX((((1+0*'01_Inputs'!$C$5))*((0*'01_Inputs'!$C$5))/(('01_Inputs'!$C$31)*('02_HW'!$C$6))*('02_HW'!$C$10)),(((1+0*'01_Inputs'!$C$5))*(((((((($A$21)*('01_Inputs'!$C$8)))*('01_Inputs'!$C$10)*('01_Inputs'!$C$14)))+((((($A$21)*('01_Inputs'!$C$8)))*('01_Inputs'!$C$24)*('01_Inputs'!$C$28)))))+((0*'01_Inputs'!$C$5))+((((($A$21)*('01_Inputs'!$C$8)))*('01_Inputs'!$C$24)*('01_Inputs'!$C$10)*('01_Inputs'!$C$14))))/(('01_Inputs'!$C$32)*('02_HW'!$C$7))*('02_HW'!$C$10)))+((1+0*'01_Inputs'!$C$5))*('02_HW'!$C$9)*('02_HW'!$C$10))</x:f>
        <x:v>0.00007829014925373135</x:v>
      </x:c>
      <x:c r="P21" s="21" t="n">
        <x:f>(MAX((((1+0*'01_Inputs'!$C$5))*((2*((($A$21)*('01_Inputs'!$C$8)))*('01_Inputs'!$C$24)*('01_Inputs'!$C$10)*('01_Inputs'!$C$25)))/(('01_Inputs'!$C$31)*('02_HW'!$C$6))*('02_HW'!$C$10)),(((1+0*'01_Inputs'!$C$5))*(((((((($A$21)*('01_Inputs'!$C$8)))*('01_Inputs'!$C$24)*('01_Inputs'!$C$10)*('01_Inputs'!$C$14)))+((((IF(('01_Inputs'!$C$29)&gt;0,('01_Inputs'!$C$29),('01_Inputs'!$C$23)*(1-POWER(1-1/('01_Inputs'!$C$23),((($A$21)*('01_Inputs'!$C$8)))*('01_Inputs'!$C$24))))))*('01_Inputs'!$C$10)*('01_Inputs'!$C$25)*('01_Inputs'!$C$15)*('01_Inputs'!$C$30)))))+((0*'01_Inputs'!$C$5))+((IF(('01_Inputs'!$C$34)=1,0,((((($A$21)*('01_Inputs'!$C$8)))*('01_Inputs'!$C$24)*('01_Inputs'!$C$25)*('01_Inputs'!$C$14)))))))/(('01_Inputs'!$C$32)*('02_HW'!$C$7))*('02_HW'!$C$10)))+((1+0*'01_Inputs'!$C$5))*('02_HW'!$C$9)*('02_HW'!$C$10))</x:f>
        <x:v>0.6049316230044248</x:v>
      </x:c>
      <x:c r="Q21" s="21" t="n">
        <x:f>(MAX((((1+0*'01_Inputs'!$C$5))*((2*((($A$21)*('01_Inputs'!$C$8)))*('01_Inputs'!$C$24)*('01_Inputs'!$C$10)*('01_Inputs'!$C$25)))/(('01_Inputs'!$C$31)*('02_HW'!$C$6))*('02_HW'!$C$10)),(((1+0*'01_Inputs'!$C$5))*(((((((IF(('01_Inputs'!$C$29)&gt;0,('01_Inputs'!$C$29),('01_Inputs'!$C$23)*(1-POWER(1-1/('01_Inputs'!$C$23),((($A$21)*('01_Inputs'!$C$8)))*('01_Inputs'!$C$24))))))*('01_Inputs'!$C$10)*('01_Inputs'!$C$25)*('01_Inputs'!$C$15)*('01_Inputs'!$C$30)))+(IF(('01_Inputs'!$C$34)=1,0,((((($A$21)*('01_Inputs'!$C$8)))*('01_Inputs'!$C$24)*('01_Inputs'!$C$10)*('01_Inputs'!$C$14)))))))+((0*'01_Inputs'!$C$5))+((IF(('01_Inputs'!$C$34)=1,0,((((($A$21)*('01_Inputs'!$C$8)))*('01_Inputs'!$C$24)*('01_Inputs'!$C$25)*('01_Inputs'!$C$14)))))))/(('01_Inputs'!$C$32)*('02_HW'!$C$7))*('02_HW'!$C$10)))+((1+0*'01_Inputs'!$C$5))*('02_HW'!$C$9)*('02_HW'!$C$10))</x:f>
        <x:v>0.6049316230044248</x:v>
      </x:c>
      <x:c r="R21" s="21" t="n">
        <x:f>(MAX((((1+0*'01_Inputs'!$C$5))*((((($A$21)*('01_Inputs'!$C$8)))*('01_Inputs'!$C$24)*('01_Inputs'!$C$25)*('01_Inputs'!$C$33)))/(('01_Inputs'!$C$31)*('02_HW'!$C$6))*('02_HW'!$C$10)),(((1+0*'01_Inputs'!$C$5))*(((IF(('01_Inputs'!$C$34)=1,0,(2*((((($A$21)*('01_Inputs'!$C$8)))*('01_Inputs'!$C$24)*('01_Inputs'!$C$25)*('01_Inputs'!$C$14)))))))+((0*'01_Inputs'!$C$5))+((IF(('01_Inputs'!$C$34)=1,0,((((($A$21)*('01_Inputs'!$C$8)))*('01_Inputs'!$C$24)*('01_Inputs'!$C$25)*('01_Inputs'!$C$14)))))))/(('01_Inputs'!$C$32)*('02_HW'!$C$7))*('02_HW'!$C$10)))+((1+0*'01_Inputs'!$C$5))*('02_HW'!$C$9)*('02_HW'!$C$10))</x:f>
        <x:v>0.00023475582089552239</x:v>
      </x:c>
      <x:c r="S21" s="21" t="n">
        <x:f>(MAX((((1+0*'01_Inputs'!$C$5))*((2*((($A$21)*('01_Inputs'!$C$8)))*('01_Inputs'!$C$24)*('01_Inputs'!$C$10)*('01_Inputs'!$C$25)))/(('01_Inputs'!$C$31)*('02_HW'!$C$6))*('02_HW'!$C$10)),(((1+0*'01_Inputs'!$C$5))*(((((((IF(('01_Inputs'!$C$29)&gt;0,('01_Inputs'!$C$29),('01_Inputs'!$C$23)*(1-POWER(1-1/('01_Inputs'!$C$23),((($A$21)*('01_Inputs'!$C$8)))*('01_Inputs'!$C$24))))))*('01_Inputs'!$C$10)*('01_Inputs'!$C$25)*('01_Inputs'!$C$15)*('01_Inputs'!$C$30)))+(IF(('01_Inputs'!$C$34)=1,0,((((($A$21)*('01_Inputs'!$C$8)))*('01_Inputs'!$C$24)*('01_Inputs'!$C$25)*('01_Inputs'!$C$14)))))))+((0*'01_Inputs'!$C$5))+((((($A$21)*('01_Inputs'!$C$8)))*('01_Inputs'!$C$24)*('01_Inputs'!$C$10)*('01_Inputs'!$C$14))))/(('01_Inputs'!$C$32)*('02_HW'!$C$7))*('02_HW'!$C$10)))+((1+0*'01_Inputs'!$C$5))*('02_HW'!$C$9)*('02_HW'!$C$10))</x:f>
        <x:v>0.6049316230044248</x:v>
      </x:c>
      <x:c r="T21" s="21" t="n">
        <x:f>(MAX((((1+0*'01_Inputs'!$C$5))*((0*'01_Inputs'!$C$5))/(('01_Inputs'!$C$31)*('02_HW'!$C$6))*('02_HW'!$C$10)),(((1+0*'01_Inputs'!$C$5))*(((((($A$21)*('01_Inputs'!$C$8)))*('01_Inputs'!$C$24)*('01_Inputs'!$C$10)*('01_Inputs'!$C$14)))+((((($A$21)*('01_Inputs'!$C$8)))*('01_Inputs'!$C$10)*('01_Inputs'!$C$14)))+((0*'01_Inputs'!$C$5)))/(('01_Inputs'!$C$32)*('02_HW'!$C$7))*('02_HW'!$C$10)))+((1+0*'01_Inputs'!$C$5))*('02_HW'!$C$9)*('02_HW'!$C$10))</x:f>
        <x:v>0.00007825194029850745</x:v>
      </x:c>
    </x:row>
    <x:row r="22">
      <x:c r="A22" s="84" t="n">
        <x:f>'01_Inputs'!$G$65+0*('01_Inputs'!$C$5)</x:f>
        <x:v>32</x:v>
      </x:c>
      <x:c r="B22" s="67" t="n">
        <x:f>SUM(H22:T22)+0*('01_Inputs'!$C$5)</x:f>
        <x:v>24.051185910849703</x:v>
      </x:c>
      <x:c r="C22" s="67" t="n">
        <x:f>(('21_HOPE_Decode'!$B$8)-('21_HOPE_Decode'!$Q$12)-((((SUM('21_HOPE_Decode'!$F$12:$F$45)-'21_HOPE_Decode'!$F$12))*('02_HW'!$C$9)*('02_HW'!$C$10))))*($A$22)/('01_Inputs'!$C$5)+((((SUM('21_HOPE_Decode'!$F$12:$F$45)-'21_HOPE_Decode'!$F$12))*('02_HW'!$C$9)*('02_HW'!$C$10)))+((MAX((((1+0*'01_Inputs'!$C$5))*((2*((($A$22)*('01_Inputs'!$C$8)))*('01_Inputs'!$C$10)*('01_Inputs'!$C$10)))/(('01_Inputs'!$C$31)*('02_HW'!$C$6))*('02_HW'!$C$10)),(((1+0*'01_Inputs'!$C$5))*(((((((($A$22)*('01_Inputs'!$C$8)))*('01_Inputs'!$C$10)*('01_Inputs'!$C$14)))+('01_Inputs'!$C$10)*('01_Inputs'!$C$10)*('01_Inputs'!$C$15)))+((0*'01_Inputs'!$C$5))+((((($A$22)*('01_Inputs'!$C$8)))*('01_Inputs'!$C$10)*('01_Inputs'!$C$14))))/(('01_Inputs'!$C$32)*('02_HW'!$C$7))*('02_HW'!$C$10)))+((1+0*'01_Inputs'!$C$5))*('02_HW'!$C$9)*('02_HW'!$C$10)))</x:f>
        <x:v>76.35361546016657</x:v>
      </x:c>
      <x:c r="D22" s="67" t="n">
        <x:f>(2*($A$22)*('01_Inputs'!$C$9)*('01_Inputs'!$C$13)*('01_Inputs'!$C$11)*('01_Inputs'!$C$16))/'02_HW'!$C$11</x:f>
        <x:v>64</x:v>
      </x:c>
      <x:c r="E22" s="67" t="n">
        <x:f>('21_HOPE_Decode'!$E$3)*($A$22)/('01_Inputs'!$C$5)/'02_HW'!$C$11</x:f>
        <x:v>94.00244140625</x:v>
      </x:c>
      <x:c r="F22" s="67" t="n">
        <x:f>B22/C22+0*('01_Inputs'!$C$5)</x:f>
        <x:v>0.31499734185340744</x:v>
      </x:c>
      <x:c r="G22" s="22"/>
      <x:c r="H22" s="22" t="n">
        <x:f>(MAX((((1+0*'01_Inputs'!$C$5))*((2*((($A$22)*('01_Inputs'!$C$8)))*('01_Inputs'!$C$10)*(((('01_Inputs'!$C$12)*('01_Inputs'!$C$11)))+2*((('01_Inputs'!$C$13)*('01_Inputs'!$C$11))))))/(('01_Inputs'!$C$31)*('02_HW'!$C$6))*('02_HW'!$C$10)),(((1+0*'01_Inputs'!$C$5))*(((((($A$22)*('01_Inputs'!$C$8)))*('01_Inputs'!$C$10)*('01_Inputs'!$C$14)+('01_Inputs'!$C$10)*(((('01_Inputs'!$C$12)*('01_Inputs'!$C$11)))+2*((('01_Inputs'!$C$13)*('01_Inputs'!$C$11))))*('01_Inputs'!$C$15)))+((0*'01_Inputs'!$C$5))+((((($A$22)*('01_Inputs'!$C$8)))*((('01_Inputs'!$C$12)*('01_Inputs'!$C$11)))*('01_Inputs'!$C$14))))/(('01_Inputs'!$C$32)*('02_HW'!$C$7))*('02_HW'!$C$10)))+((1+0*'01_Inputs'!$C$5))*('02_HW'!$C$9)*('02_HW'!$C$10))</x:f>
        <x:v>0.06025399402985075</x:v>
      </x:c>
      <x:c r="I22" s="22" t="n">
        <x:f>(MAX((((1+0*'01_Inputs'!$C$5))*((0*'01_Inputs'!$C$5))/(('01_Inputs'!$C$31)*('02_HW'!$C$6))*('02_HW'!$C$10)),(((1+0*'01_Inputs'!$C$5))*(((0*'01_Inputs'!$C$5))+((2*((($A$22)*('01_Inputs'!$C$8)))*((('01_Inputs'!$C$13)*('01_Inputs'!$C$11)))*('01_Inputs'!$C$16)))+((0*'01_Inputs'!$C$5)))/(('01_Inputs'!$C$32)*('02_HW'!$C$7))*('02_HW'!$C$10)))+((1+0*'01_Inputs'!$C$5))*('02_HW'!$C$9)*('02_HW'!$C$10))</x:f>
        <x:v>0.0001565038805970149</x:v>
      </x:c>
      <x:c r="J22" s="22" t="n">
        <x:f>(MAX((((1+0*'01_Inputs'!$C$5))*((0*'01_Inputs'!$C$5))/(('01_Inputs'!$C$31)*('02_HW'!$C$6))*('02_HW'!$C$10)),(((1+0*'01_Inputs'!$C$5))*(((((($A$22)*('01_Inputs'!$C$8)))*((('01_Inputs'!$C$12)*('01_Inputs'!$C$11)))*('01_Inputs'!$C$14)))+((0*'01_Inputs'!$C$5))+((0*'01_Inputs'!$C$5)))/(('01_Inputs'!$C$32)*('02_HW'!$C$7))*('02_HW'!$C$10)))+((1+0*'01_Inputs'!$C$5))*('02_HW'!$C$9)*('02_HW'!$C$10))</x:f>
        <x:v>0.00007825194029850745</x:v>
      </x:c>
      <x:c r="K22" s="22" t="n">
        <x:f>(MAX((((1+0*'01_Inputs'!$C$5))*((4*((($A$22)*('01_Inputs'!$C$12)*('01_Inputs'!$C$8)*('01_Inputs'!$C$9)))*('01_Inputs'!$C$11)+('01_Inputs'!$C$22)*((($A$22)*('01_Inputs'!$C$12)*('01_Inputs'!$C$8)*('01_Inputs'!$C$9)))))/(('01_Inputs'!$C$31)*('02_HW'!$C$6))*('02_HW'!$C$10)),(((1+0*'01_Inputs'!$C$5))*(((2*($A$22)*('01_Inputs'!$C$9)*((('01_Inputs'!$C$13)*('01_Inputs'!$C$11)))*('01_Inputs'!$C$16)*('01_Inputs'!$C$21)))+((IF(('01_Inputs'!$C$19)=1,(((($A$22)*('01_Inputs'!$C$8)))*((('01_Inputs'!$C$12)*('01_Inputs'!$C$11)))*('01_Inputs'!$C$14)),0)))+((IF(('01_Inputs'!$C$19)=1,0,($A$22)*('01_Inputs'!$C$8)*('01_Inputs'!$C$12)*('01_Inputs'!$C$19)*(('01_Inputs'!$C$11)*('01_Inputs'!$C$17)+('01_Inputs'!$C$18))))))/(('01_Inputs'!$C$32)*('02_HW'!$C$7))*('02_HW'!$C$10)))+((1+0*'01_Inputs'!$C$5))*('02_HW'!$C$9)*('02_HW'!$C$10))</x:f>
        <x:v>20.533465638208956</x:v>
      </x:c>
      <x:c r="L22" s="22" t="n">
        <x:f>(MAX((((IF(('01_Inputs'!$C$19)&gt;1,1,0)+0*'01_Inputs'!$C$5))*((0*'01_Inputs'!$C$5))/(('01_Inputs'!$C$31)*('02_HW'!$C$6))*('02_HW'!$C$10)),(((IF(('01_Inputs'!$C$19)&gt;1,1,0)+0*'01_Inputs'!$C$5))*(((IF(('01_Inputs'!$C$19)=1,0,($A$22)*('01_Inputs'!$C$8)*('01_Inputs'!$C$12)*('01_Inputs'!$C$19)*(('01_Inputs'!$C$11)*('01_Inputs'!$C$17)+('01_Inputs'!$C$18)))))+((((($A$22)*('01_Inputs'!$C$8)))*((('01_Inputs'!$C$12)*('01_Inputs'!$C$11)))*('01_Inputs'!$C$14)))+((0*'01_Inputs'!$C$5)))/(('01_Inputs'!$C$32)*('02_HW'!$C$7))*('02_HW'!$C$10)))+((IF(('01_Inputs'!$C$19)&gt;1,1,0)+0*'01_Inputs'!$C$5))*('02_HW'!$C$9)*('02_HW'!$C$10))</x:f>
        <x:v>0.020267252537313433</x:v>
      </x:c>
      <x:c r="M22" s="22" t="n">
        <x:f>(MAX((((1+0*'01_Inputs'!$C$5))*((2*((($A$22)*('01_Inputs'!$C$8)))*((('01_Inputs'!$C$12)*('01_Inputs'!$C$11)))*('01_Inputs'!$C$10)))/(('01_Inputs'!$C$31)*('02_HW'!$C$6))*('02_HW'!$C$10)),(((1+0*'01_Inputs'!$C$5))*(((((($A$22)*('01_Inputs'!$C$8)))*((('01_Inputs'!$C$12)*('01_Inputs'!$C$11)))*('01_Inputs'!$C$14)+((('01_Inputs'!$C$12)*('01_Inputs'!$C$11)))*('01_Inputs'!$C$10)*('01_Inputs'!$C$15)))+((0*'01_Inputs'!$C$5))+((((($A$22)*('01_Inputs'!$C$8)))*('01_Inputs'!$C$10)*('01_Inputs'!$C$14))))/(('01_Inputs'!$C$32)*('02_HW'!$C$7))*('02_HW'!$C$10)))+((1+0*'01_Inputs'!$C$5))*('02_HW'!$C$9)*('02_HW'!$C$10))</x:f>
        <x:v>0.020189000597014926</x:v>
      </x:c>
      <x:c r="N22" s="22" t="n">
        <x:f>(MAX((((1+0*'01_Inputs'!$C$5))*((2*((($A$22)*('01_Inputs'!$C$8)))*('01_Inputs'!$C$10)*('01_Inputs'!$C$23)+('01_Inputs'!$C$27)*((($A$22)*('01_Inputs'!$C$8)))*('01_Inputs'!$C$23)))/(('01_Inputs'!$C$31)*('02_HW'!$C$6))*('02_HW'!$C$10)),(((1+0*'01_Inputs'!$C$5))*(((((((($A$22)*('01_Inputs'!$C$8)))*('01_Inputs'!$C$10)*('01_Inputs'!$C$14)))+('01_Inputs'!$C$10)*('01_Inputs'!$C$23)*('01_Inputs'!$C$15)))+((0*'01_Inputs'!$C$5))+((((($A$22)*('01_Inputs'!$C$8)))*('01_Inputs'!$C$24)*('01_Inputs'!$C$28))))/(('01_Inputs'!$C$32)*('02_HW'!$C$7))*('02_HW'!$C$10)))+((1+0*'01_Inputs'!$C$5))*('02_HW'!$C$9)*('02_HW'!$C$10))</x:f>
        <x:v>0.0003913361194029851</x:v>
      </x:c>
      <x:c r="O22" s="22" t="n">
        <x:f>(MAX((((1+0*'01_Inputs'!$C$5))*((0*'01_Inputs'!$C$5))/(('01_Inputs'!$C$31)*('02_HW'!$C$6))*('02_HW'!$C$10)),(((1+0*'01_Inputs'!$C$5))*(((((((($A$22)*('01_Inputs'!$C$8)))*('01_Inputs'!$C$10)*('01_Inputs'!$C$14)))+((((($A$22)*('01_Inputs'!$C$8)))*('01_Inputs'!$C$24)*('01_Inputs'!$C$28)))))+((0*'01_Inputs'!$C$5))+((((($A$22)*('01_Inputs'!$C$8)))*('01_Inputs'!$C$24)*('01_Inputs'!$C$10)*('01_Inputs'!$C$14))))/(('01_Inputs'!$C$32)*('02_HW'!$C$7))*('02_HW'!$C$10)))+((1+0*'01_Inputs'!$C$5))*('02_HW'!$C$9)*('02_HW'!$C$10))</x:f>
        <x:v>0.0001565802985074627</x:v>
      </x:c>
      <x:c r="P22" s="22" t="n">
        <x:f>(MAX((((1+0*'01_Inputs'!$C$5))*((2*((($A$22)*('01_Inputs'!$C$8)))*('01_Inputs'!$C$24)*('01_Inputs'!$C$10)*('01_Inputs'!$C$25)))/(('01_Inputs'!$C$31)*('02_HW'!$C$6))*('02_HW'!$C$10)),(((1+0*'01_Inputs'!$C$5))*(((((((($A$22)*('01_Inputs'!$C$8)))*('01_Inputs'!$C$24)*('01_Inputs'!$C$10)*('01_Inputs'!$C$14)))+((((IF(('01_Inputs'!$C$29)&gt;0,('01_Inputs'!$C$29),('01_Inputs'!$C$23)*(1-POWER(1-1/('01_Inputs'!$C$23),((($A$22)*('01_Inputs'!$C$8)))*('01_Inputs'!$C$24))))))*('01_Inputs'!$C$10)*('01_Inputs'!$C$25)*('01_Inputs'!$C$15)*('01_Inputs'!$C$30)))))+((0*'01_Inputs'!$C$5))+((IF(('01_Inputs'!$C$34)=1,0,((((($A$22)*('01_Inputs'!$C$8)))*('01_Inputs'!$C$24)*('01_Inputs'!$C$25)*('01_Inputs'!$C$14)))))))/(('01_Inputs'!$C$32)*('02_HW'!$C$7))*('02_HW'!$C$10)))+((1+0*'01_Inputs'!$C$5))*('02_HW'!$C$9)*('02_HW'!$C$10))</x:f>
        <x:v>1.1385337792384582</x:v>
      </x:c>
      <x:c r="Q22" s="22" t="n">
        <x:f>(MAX((((1+0*'01_Inputs'!$C$5))*((2*((($A$22)*('01_Inputs'!$C$8)))*('01_Inputs'!$C$24)*('01_Inputs'!$C$10)*('01_Inputs'!$C$25)))/(('01_Inputs'!$C$31)*('02_HW'!$C$6))*('02_HW'!$C$10)),(((1+0*'01_Inputs'!$C$5))*(((((((IF(('01_Inputs'!$C$29)&gt;0,('01_Inputs'!$C$29),('01_Inputs'!$C$23)*(1-POWER(1-1/('01_Inputs'!$C$23),((($A$22)*('01_Inputs'!$C$8)))*('01_Inputs'!$C$24))))))*('01_Inputs'!$C$10)*('01_Inputs'!$C$25)*('01_Inputs'!$C$15)*('01_Inputs'!$C$30)))+(IF(('01_Inputs'!$C$34)=1,0,((((($A$22)*('01_Inputs'!$C$8)))*('01_Inputs'!$C$24)*('01_Inputs'!$C$10)*('01_Inputs'!$C$14)))))))+((0*'01_Inputs'!$C$5))+((IF(('01_Inputs'!$C$34)=1,0,((((($A$22)*('01_Inputs'!$C$8)))*('01_Inputs'!$C$24)*('01_Inputs'!$C$25)*('01_Inputs'!$C$14)))))))/(('01_Inputs'!$C$32)*('02_HW'!$C$7))*('02_HW'!$C$10)))+((1+0*'01_Inputs'!$C$5))*('02_HW'!$C$9)*('02_HW'!$C$10))</x:f>
        <x:v>1.1385337792384582</x:v>
      </x:c>
      <x:c r="R22" s="22" t="n">
        <x:f>(MAX((((1+0*'01_Inputs'!$C$5))*((((($A$22)*('01_Inputs'!$C$8)))*('01_Inputs'!$C$24)*('01_Inputs'!$C$25)*('01_Inputs'!$C$33)))/(('01_Inputs'!$C$31)*('02_HW'!$C$6))*('02_HW'!$C$10)),(((1+0*'01_Inputs'!$C$5))*(((IF(('01_Inputs'!$C$34)=1,0,(2*((((($A$22)*('01_Inputs'!$C$8)))*('01_Inputs'!$C$24)*('01_Inputs'!$C$25)*('01_Inputs'!$C$14)))))))+((0*'01_Inputs'!$C$5))+((IF(('01_Inputs'!$C$34)=1,0,((((($A$22)*('01_Inputs'!$C$8)))*('01_Inputs'!$C$24)*('01_Inputs'!$C$25)*('01_Inputs'!$C$14)))))))/(('01_Inputs'!$C$32)*('02_HW'!$C$7))*('02_HW'!$C$10)))+((1+0*'01_Inputs'!$C$5))*('02_HW'!$C$9)*('02_HW'!$C$10))</x:f>
        <x:v>0.00046951164179104477</x:v>
      </x:c>
      <x:c r="S22" s="22" t="n">
        <x:f>(MAX((((1+0*'01_Inputs'!$C$5))*((2*((($A$22)*('01_Inputs'!$C$8)))*('01_Inputs'!$C$24)*('01_Inputs'!$C$10)*('01_Inputs'!$C$25)))/(('01_Inputs'!$C$31)*('02_HW'!$C$6))*('02_HW'!$C$10)),(((1+0*'01_Inputs'!$C$5))*(((((((IF(('01_Inputs'!$C$29)&gt;0,('01_Inputs'!$C$29),('01_Inputs'!$C$23)*(1-POWER(1-1/('01_Inputs'!$C$23),((($A$22)*('01_Inputs'!$C$8)))*('01_Inputs'!$C$24))))))*('01_Inputs'!$C$10)*('01_Inputs'!$C$25)*('01_Inputs'!$C$15)*('01_Inputs'!$C$30)))+(IF(('01_Inputs'!$C$34)=1,0,((((($A$22)*('01_Inputs'!$C$8)))*('01_Inputs'!$C$24)*('01_Inputs'!$C$25)*('01_Inputs'!$C$14)))))))+((0*'01_Inputs'!$C$5))+((((($A$22)*('01_Inputs'!$C$8)))*('01_Inputs'!$C$24)*('01_Inputs'!$C$10)*('01_Inputs'!$C$14))))/(('01_Inputs'!$C$32)*('02_HW'!$C$7))*('02_HW'!$C$10)))+((1+0*'01_Inputs'!$C$5))*('02_HW'!$C$9)*('02_HW'!$C$10))</x:f>
        <x:v>1.1385337792384582</x:v>
      </x:c>
      <x:c r="T22" s="22" t="n">
        <x:f>(MAX((((1+0*'01_Inputs'!$C$5))*((0*'01_Inputs'!$C$5))/(('01_Inputs'!$C$31)*('02_HW'!$C$6))*('02_HW'!$C$10)),(((1+0*'01_Inputs'!$C$5))*(((((($A$22)*('01_Inputs'!$C$8)))*('01_Inputs'!$C$24)*('01_Inputs'!$C$10)*('01_Inputs'!$C$14)))+((((($A$22)*('01_Inputs'!$C$8)))*('01_Inputs'!$C$10)*('01_Inputs'!$C$14)))+((0*'01_Inputs'!$C$5)))/(('01_Inputs'!$C$32)*('02_HW'!$C$7))*('02_HW'!$C$10)))+((1+0*'01_Inputs'!$C$5))*('02_HW'!$C$9)*('02_HW'!$C$10))</x:f>
        <x:v>0.0001565038805970149</x:v>
      </x:c>
    </x:row>
  </x:sheetData>
  <x:mergeCells>
    <x:mergeCell ref="A1:AD1"/>
    <x:mergeCell ref="A2:AD2"/>
  </x:mergeCells>
  <x:pageMargins left="0.7" right="0.7" top="0.75" bottom="0.75" header="0.3" footer="0.3"/>
  <x:drawing xmlns:r="http://schemas.openxmlformats.org/officeDocument/2006/relationships" r:id="R49aba4c276f64009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</x:cols>
  <x:sheetData>
    <x:row r="1" ht="28" customHeight="1">
      <x:c r="A1" s="3" t="str">
        <x:v>90 · QA and engine reconciliation</x:v>
      </x:c>
      <x:c r="B1" s="3"/>
      <x:c r="C1" s="3"/>
      <x:c r="D1" s="3"/>
      <x:c r="E1" s="3"/>
      <x:c r="F1" s="3"/>
      <x:c r="G1" s="3"/>
    </x:row>
    <x:row r="2" ht="28" customHeight="1">
      <x:c r="A2" s="7" t="str">
        <x:v>Only this sheet contains imported numerical engine outputs; workbook formulas are compared against them.</x:v>
      </x:c>
      <x:c r="B2" s="7"/>
      <x:c r="C2" s="7"/>
      <x:c r="D2" s="7"/>
      <x:c r="E2" s="7"/>
      <x:c r="F2" s="7"/>
      <x:c r="G2" s="7"/>
    </x:row>
    <x:row r="5">
      <x:c r="A5" s="14" t="str">
        <x:v>Check</x:v>
      </x:c>
      <x:c r="B5" s="28" t="str">
        <x:v>Workbook formula</x:v>
      </x:c>
      <x:c r="C5" s="28" t="str">
        <x:v>Engine reference (imported)</x:v>
      </x:c>
      <x:c r="D5" s="28" t="str">
        <x:v>Delta</x:v>
      </x:c>
      <x:c r="E5" s="28" t="str">
        <x:v>Tolerance</x:v>
      </x:c>
      <x:c r="F5" s="28" t="str">
        <x:v>Status</x:v>
      </x:c>
      <x:c r="G5" s="15" t="str">
        <x:v>Notes</x:v>
      </x:c>
    </x:row>
    <x:row r="6">
      <x:c r="A6" s="20" t="str">
        <x:v>Attention prefill FLOPs</x:v>
      </x:c>
      <x:c r="B6" s="85" t="n">
        <x:f>'10_AttnMoE_Prefill'!$A$3+0*('01_Inputs'!$C$5)</x:f>
        <x:v>90324254851072</x:v>
      </x:c>
      <x:c r="C6" s="85" t="n">
        <x:v>90324254851072</x:v>
      </x:c>
      <x:c r="D6" s="85" t="n">
        <x:f>B6-C6+0*('01_Inputs'!$C$5)</x:f>
        <x:v>0</x:v>
      </x:c>
      <x:c r="E6" s="85" t="n">
        <x:f>0+0*('01_Inputs'!$C$5)</x:f>
        <x:v>0</x:v>
      </x:c>
      <x:c r="F6" s="20" t="str">
        <x:f>IF(ABS(D6)&lt;=E6,"PASS","REVIEW")&amp;IF('02_HW'!$C$8&gt;0,"","")</x:f>
        <x:v>PASS</x:v>
      </x:c>
      <x:c r="G6" s="20" t="str">
        <x:v>Exact integer</x:v>
      </x:c>
    </x:row>
    <x:row r="7">
      <x:c r="A7" s="21" t="str">
        <x:v>Attention prefill effective HBM B</x:v>
      </x:c>
      <x:c r="B7" s="86" t="n">
        <x:f>'10_AttnMoE_Prefill'!$D$3+0*('01_Inputs'!$C$5)</x:f>
        <x:v>67916267520</x:v>
      </x:c>
      <x:c r="C7" s="86" t="n">
        <x:v>67916267520</x:v>
      </x:c>
      <x:c r="D7" s="86" t="n">
        <x:f>B7-C7+0*('01_Inputs'!$C$5)</x:f>
        <x:v>0</x:v>
      </x:c>
      <x:c r="E7" s="86" t="n">
        <x:f>0.01+0*('01_Inputs'!$C$5)</x:f>
        <x:v>0.01</x:v>
      </x:c>
      <x:c r="F7" s="21" t="str">
        <x:f>IF(ABS(D7)&lt;=E7,"PASS","REVIEW")&amp;IF('02_HW'!$C$8&gt;0,"","")</x:f>
        <x:v>PASS</x:v>
      </x:c>
      <x:c r="G7" s="21" t="str">
        <x:v>Formula reconstruction</x:v>
      </x:c>
    </x:row>
    <x:row r="8">
      <x:c r="A8" s="21" t="str">
        <x:v>Attention prefill stagewise ms</x:v>
      </x:c>
      <x:c r="B8" s="86" t="n">
        <x:f>'10_AttnMoE_Prefill'!$J$3+0*('01_Inputs'!$C$5)</x:f>
        <x:v>93.38632175616647</x:v>
      </x:c>
      <x:c r="C8" s="86" t="n">
        <x:v>93.38632175616648</x:v>
      </x:c>
      <x:c r="D8" s="86" t="n">
        <x:f>B8-C8+0*('01_Inputs'!$C$5)</x:f>
        <x:v>-1.4210854715202004e-14</x:v>
      </x:c>
      <x:c r="E8" s="86" t="n">
        <x:f>1e-8+0*('01_Inputs'!$C$5)</x:f>
        <x:v>1e-8</x:v>
      </x:c>
      <x:c r="F8" s="21" t="str">
        <x:f>IF(ABS(D8)&lt;=E8,"PASS","REVIEW")&amp;IF('02_HW'!$C$8&gt;0,"","")</x:f>
        <x:v>PASS</x:v>
      </x:c>
      <x:c r="G8" s="21" t="str">
        <x:v>Primary latency</x:v>
      </x:c>
    </x:row>
    <x:row r="9">
      <x:c r="A9" s="21" t="str">
        <x:v>Attention decode FLOPs</x:v>
      </x:c>
      <x:c r="B9" s="86" t="n">
        <x:f>'11_AttnMoE_Decode'!$A$3+0*('01_Inputs'!$C$5)</x:f>
        <x:v>181800013824</x:v>
      </x:c>
      <x:c r="C9" s="86" t="n">
        <x:v>181800013824</x:v>
      </x:c>
      <x:c r="D9" s="86" t="n">
        <x:f>B9-C9+0*('01_Inputs'!$C$5)</x:f>
        <x:v>0</x:v>
      </x:c>
      <x:c r="E9" s="86" t="n">
        <x:f>0+0*('01_Inputs'!$C$5)</x:f>
        <x:v>0</x:v>
      </x:c>
      <x:c r="F9" s="21" t="str">
        <x:f>IF(ABS(D9)&lt;=E9,"PASS","REVIEW")&amp;IF('02_HW'!$C$8&gt;0,"","")</x:f>
        <x:v>PASS</x:v>
      </x:c>
      <x:c r="G9" s="21" t="str">
        <x:v>Exact integer</x:v>
      </x:c>
    </x:row>
    <x:row r="10">
      <x:c r="A10" s="21" t="str">
        <x:v>Attention decode effective HBM B</x:v>
      </x:c>
      <x:c r="B10" s="86" t="n">
        <x:f>'11_AttnMoE_Decode'!$D$3+0*('01_Inputs'!$C$5)</x:f>
        <x:v>80571472801.34651</x:v>
      </x:c>
      <x:c r="C10" s="86" t="n">
        <x:v>80571472801.34651</x:v>
      </x:c>
      <x:c r="D10" s="86" t="n">
        <x:f>B10-C10+0*('01_Inputs'!$C$5)</x:f>
        <x:v>0</x:v>
      </x:c>
      <x:c r="E10" s="86" t="n">
        <x:f>0.01+0*('01_Inputs'!$C$5)</x:f>
        <x:v>0.01</x:v>
      </x:c>
      <x:c r="F10" s="21" t="str">
        <x:f>IF(ABS(D10)&lt;=E10,"PASS","REVIEW")&amp;IF('02_HW'!$C$8&gt;0,"","")</x:f>
        <x:v>PASS</x:v>
      </x:c>
      <x:c r="G10" s="21" t="str">
        <x:v>Formula reconstruction</x:v>
      </x:c>
    </x:row>
    <x:row r="11">
      <x:c r="A11" s="21" t="str">
        <x:v>Attention decode stagewise ms</x:v>
      </x:c>
      <x:c r="B11" s="86" t="n">
        <x:f>'11_AttnMoE_Decode'!$J$3+0*('01_Inputs'!$C$5)</x:f>
        <x:v>24.051185910849703</x:v>
      </x:c>
      <x:c r="C11" s="86" t="n">
        <x:v>24.051185910849703</x:v>
      </x:c>
      <x:c r="D11" s="86" t="n">
        <x:f>B11-C11+0*('01_Inputs'!$C$5)</x:f>
        <x:v>0</x:v>
      </x:c>
      <x:c r="E11" s="86" t="n">
        <x:f>1e-8+0*('01_Inputs'!$C$5)</x:f>
        <x:v>1e-8</x:v>
      </x:c>
      <x:c r="F11" s="21" t="str">
        <x:f>IF(ABS(D11)&lt;=E11,"PASS","REVIEW")&amp;IF('02_HW'!$C$8&gt;0,"","")</x:f>
        <x:v>PASS</x:v>
      </x:c>
      <x:c r="G11" s="21" t="str">
        <x:v>Primary latency</x:v>
      </x:c>
    </x:row>
    <x:row r="12">
      <x:c r="A12" s="21" t="str">
        <x:v>HOPE prefill FLOPs</x:v>
      </x:c>
      <x:c r="B12" s="86" t="n">
        <x:f>'20_HOPE_Prefill'!$A$3+0*('01_Inputs'!$C$5)</x:f>
        <x:v>422284943294464</x:v>
      </x:c>
      <x:c r="C12" s="86" t="n">
        <x:v>422284943294464</x:v>
      </x:c>
      <x:c r="D12" s="86" t="n">
        <x:f>B12-C12+0*('01_Inputs'!$C$5)</x:f>
        <x:v>0</x:v>
      </x:c>
      <x:c r="E12" s="86" t="n">
        <x:f>0.01+0*('01_Inputs'!$C$5)</x:f>
        <x:v>0.01</x:v>
      </x:c>
      <x:c r="F12" s="21" t="str">
        <x:f>IF(ABS(D12)&lt;=E12,"PASS","REVIEW")&amp;IF('02_HW'!$C$8&gt;0,"","")</x:f>
        <x:v>PASS</x:v>
      </x:c>
      <x:c r="G12" s="21" t="str">
        <x:v>Shipped-credible momentum</x:v>
      </x:c>
    </x:row>
    <x:row r="13">
      <x:c r="A13" s="21" t="str">
        <x:v>HOPE prefill effective HBM B</x:v>
      </x:c>
      <x:c r="B13" s="86" t="n">
        <x:f>'20_HOPE_Prefill'!$D$3+0*('01_Inputs'!$C$5)</x:f>
        <x:v>348506292224</x:v>
      </x:c>
      <x:c r="C13" s="86" t="n">
        <x:v>348506292224</x:v>
      </x:c>
      <x:c r="D13" s="86" t="n">
        <x:f>B13-C13+0*('01_Inputs'!$C$5)</x:f>
        <x:v>0</x:v>
      </x:c>
      <x:c r="E13" s="86" t="n">
        <x:f>0.01+0*('01_Inputs'!$C$5)</x:f>
        <x:v>0.01</x:v>
      </x:c>
      <x:c r="F13" s="21" t="str">
        <x:f>IF(ABS(D13)&lt;=E13,"PASS","REVIEW")&amp;IF('02_HW'!$C$8&gt;0,"","")</x:f>
        <x:v>PASS</x:v>
      </x:c>
      <x:c r="G13" s="21" t="str">
        <x:v>Shipped-credible momentum</x:v>
      </x:c>
    </x:row>
    <x:row r="14">
      <x:c r="A14" s="21" t="str">
        <x:v>HOPE prefill stagewise ms</x:v>
      </x:c>
      <x:c r="B14" s="86" t="n">
        <x:f>'20_HOPE_Prefill'!$J$3+0*('01_Inputs'!$C$5)</x:f>
        <x:v>451.376552017883</x:v>
      </x:c>
      <x:c r="C14" s="86" t="n">
        <x:v>451.3765520178831</x:v>
      </x:c>
      <x:c r="D14" s="86" t="n">
        <x:f>B14-C14+0*('01_Inputs'!$C$5)</x:f>
        <x:v>-1.1368683772161603e-13</x:v>
      </x:c>
      <x:c r="E14" s="86" t="n">
        <x:f>1e-8+0*('01_Inputs'!$C$5)</x:f>
        <x:v>1e-8</x:v>
      </x:c>
      <x:c r="F14" s="21" t="str">
        <x:f>IF(ABS(D14)&lt;=E14,"PASS","REVIEW")&amp;IF('02_HW'!$C$8&gt;0,"","")</x:f>
        <x:v>PASS</x:v>
      </x:c>
      <x:c r="G14" s="21" t="str">
        <x:v>Primary latency</x:v>
      </x:c>
    </x:row>
    <x:row r="15">
      <x:c r="A15" s="21" t="str">
        <x:v>HOPE normal decode ms</x:v>
      </x:c>
      <x:c r="B15" s="86" t="n">
        <x:f>'21_HOPE_Decode'!$B$6+0*('01_Inputs'!$C$5)</x:f>
        <x:v>76.34359890613672</x:v>
      </x:c>
      <x:c r="C15" s="86" t="n">
        <x:v>76.3435989061367</x:v>
      </x:c>
      <x:c r="D15" s="86" t="n">
        <x:f>B15-C15+0*('01_Inputs'!$C$5)</x:f>
        <x:v>1.4210854715202004e-14</x:v>
      </x:c>
      <x:c r="E15" s="86" t="n">
        <x:f>1e-8+0*('01_Inputs'!$C$5)</x:f>
        <x:v>1e-8</x:v>
      </x:c>
      <x:c r="F15" s="21" t="str">
        <x:f>IF(ABS(D15)&lt;=E15,"PASS","REVIEW")&amp;IF('02_HW'!$C$8&gt;0,"","")</x:f>
        <x:v>PASS</x:v>
      </x:c>
      <x:c r="G15" s="21" t="str">
        <x:v>No apply event</x:v>
      </x:c>
    </x:row>
    <x:row r="16">
      <x:c r="A16" s="21" t="str">
        <x:v>HOPE boundary decode ms</x:v>
      </x:c>
      <x:c r="B16" s="86" t="n">
        <x:f>'21_HOPE_Decode'!$B$7+0*('01_Inputs'!$C$5)</x:f>
        <x:v>96.85750155927104</x:v>
      </x:c>
      <x:c r="C16" s="86" t="n">
        <x:v>96.85750155927103</x:v>
      </x:c>
      <x:c r="D16" s="86" t="n">
        <x:f>B16-C16+0*('01_Inputs'!$C$5)</x:f>
        <x:v>1.4210854715202004e-14</x:v>
      </x:c>
      <x:c r="E16" s="86" t="n">
        <x:f>1e-8+0*('01_Inputs'!$C$5)</x:f>
        <x:v>1e-8</x:v>
      </x:c>
      <x:c r="F16" s="21" t="str">
        <x:f>IF(ABS(D16)&lt;=E16,"PASS","REVIEW")&amp;IF('02_HW'!$C$8&gt;0,"","")</x:f>
        <x:v>PASS</x:v>
      </x:c>
      <x:c r="G16" s="21" t="str">
        <x:v>Simultaneous boundary</x:v>
      </x:c>
    </x:row>
    <x:row r="17">
      <x:c r="A17" s="21" t="str">
        <x:v>HOPE amortized decode ms</x:v>
      </x:c>
      <x:c r="B17" s="86" t="n">
        <x:f>'21_HOPE_Decode'!$B$8+0*('01_Inputs'!$C$5)</x:f>
        <x:v>76.35361546016657</x:v>
      </x:c>
      <x:c r="C17" s="86" t="n">
        <x:v>76.35361546016655</x:v>
      </x:c>
      <x:c r="D17" s="86" t="n">
        <x:f>B17-C17+0*('01_Inputs'!$C$5)</x:f>
        <x:v>1.4210854715202004e-14</x:v>
      </x:c>
      <x:c r="E17" s="86" t="n">
        <x:f>1e-8+0*('01_Inputs'!$C$5)</x:f>
        <x:v>1e-8</x:v>
      </x:c>
      <x:c r="F17" s="21" t="str">
        <x:f>IF(ABS(D17)&lt;=E17,"PASS","REVIEW")&amp;IF('02_HW'!$C$8&gt;0,"","")</x:f>
        <x:v>PASS</x:v>
      </x:c>
      <x:c r="G17" s="21" t="str">
        <x:v>Per-period expectation</x:v>
      </x:c>
    </x:row>
    <x:row r="18">
      <x:c r="A18" s="21" t="str">
        <x:v>Context sweep 1K Attention decode ms</x:v>
      </x:c>
      <x:c r="B18" s="86" t="n">
        <x:f>'40_Sweeps'!$B$6+0*('01_Inputs'!$C$5)</x:f>
        <x:v>3.657791245775076</x:v>
      </x:c>
      <x:c r="C18" s="86" t="n">
        <x:v>3.6577912457750763</x:v>
      </x:c>
      <x:c r="D18" s="86" t="n">
        <x:f>B18-C18+0*('01_Inputs'!$C$5)</x:f>
        <x:v>-4.440892098500626e-16</x:v>
      </x:c>
      <x:c r="E18" s="86" t="n">
        <x:f>1e-8+0*('01_Inputs'!$C$5)</x:f>
        <x:v>1e-8</x:v>
      </x:c>
      <x:c r="F18" s="21" t="str">
        <x:f>IF(ABS(D18)&lt;=E18,"PASS","REVIEW")&amp;IF('02_HW'!$C$8&gt;0,"","")</x:f>
        <x:v>PASS</x:v>
      </x:c>
      <x:c r="G18" s="21" t="str">
        <x:v>Formula-driven sweep endpoint</x:v>
      </x:c>
    </x:row>
    <x:row r="19">
      <x:c r="A19" s="21" t="str">
        <x:v>Context sweep 256K Attention decode ms</x:v>
      </x:c>
      <x:c r="B19" s="86" t="n">
        <x:f>'40_Sweeps'!$B$11+0*('01_Inputs'!$C$5)</x:f>
        <x:v>44.60484054965567</x:v>
      </x:c>
      <x:c r="C19" s="86" t="n">
        <x:v>44.60484054965568</x:v>
      </x:c>
      <x:c r="D19" s="86" t="n">
        <x:f>B19-C19+0*('01_Inputs'!$C$5)</x:f>
        <x:v>-7.105427357601002e-15</x:v>
      </x:c>
      <x:c r="E19" s="86" t="n">
        <x:f>1e-8+0*('01_Inputs'!$C$5)</x:f>
        <x:v>1e-8</x:v>
      </x:c>
      <x:c r="F19" s="21" t="str">
        <x:f>IF(ABS(D19)&lt;=E19,"PASS","REVIEW")&amp;IF('02_HW'!$C$8&gt;0,"","")</x:f>
        <x:v>PASS</x:v>
      </x:c>
      <x:c r="G19" s="21" t="str">
        <x:v>Formula-driven sweep endpoint</x:v>
      </x:c>
    </x:row>
    <x:row r="20">
      <x:c r="A20" s="21" t="str">
        <x:v>Batch sweep B=1 HOPE decode ms</x:v>
      </x:c>
      <x:c r="B20" s="86" t="n">
        <x:f>'40_Sweeps'!$C$17+0*('01_Inputs'!$C$5)</x:f>
        <x:v>2.405456964324235</x:v>
      </x:c>
      <x:c r="C20" s="86" t="n">
        <x:v>2.4054569643242347</x:v>
      </x:c>
      <x:c r="D20" s="86" t="n">
        <x:f>B20-C20+0*('01_Inputs'!$C$5)</x:f>
        <x:v>4.440892098500626e-16</x:v>
      </x:c>
      <x:c r="E20" s="86" t="n">
        <x:f>1e-8+0*('01_Inputs'!$C$5)</x:f>
        <x:v>1e-8</x:v>
      </x:c>
      <x:c r="F20" s="21" t="str">
        <x:f>IF(ABS(D20)&lt;=E20,"PASS","REVIEW")&amp;IF('02_HW'!$C$8&gt;0,"","")</x:f>
        <x:v>PASS</x:v>
      </x:c>
      <x:c r="G20" s="21" t="str">
        <x:v>Static-q read is not batch-linear</x:v>
      </x:c>
    </x:row>
    <x:row r="21">
      <x:c r="A21" s="22" t="str">
        <x:v>Batch sweep B=32 HOPE decode ms</x:v>
      </x:c>
      <x:c r="B21" s="87" t="n">
        <x:f>'40_Sweeps'!$C$22+0*('01_Inputs'!$C$5)</x:f>
        <x:v>76.35361546016657</x:v>
      </x:c>
      <x:c r="C21" s="87" t="n">
        <x:v>76.35361546016655</x:v>
      </x:c>
      <x:c r="D21" s="87" t="n">
        <x:f>B21-C21+0*('01_Inputs'!$C$5)</x:f>
        <x:v>1.4210854715202004e-14</x:v>
      </x:c>
      <x:c r="E21" s="87" t="n">
        <x:f>1e-8+0*('01_Inputs'!$C$5)</x:f>
        <x:v>1e-8</x:v>
      </x:c>
      <x:c r="F21" s="22" t="str">
        <x:f>IF(ABS(D21)&lt;=E21,"PASS","REVIEW")&amp;IF('02_HW'!$C$8&gt;0,"","")</x:f>
        <x:v>PASS</x:v>
      </x:c>
      <x:c r="G21" s="22" t="str">
        <x:v>Formula-driven sweep endpoint</x:v>
      </x:c>
    </x:row>
    <x:row r="25">
      <x:c r="A25" s="50" t="str">
        <x:v>Upstream invariant</x:v>
      </x:c>
      <x:c r="B25" s="51" t="str">
        <x:v>Engine result</x:v>
      </x:c>
      <x:c r="C25" s="52" t="str">
        <x:v>Meaning</x:v>
      </x:c>
    </x:row>
    <x:row r="26">
      <x:c r="A26" s="20" t="str">
        <x:v>adaptive_q_is_excluded_from_defaults</x:v>
      </x:c>
      <x:c r="B26" s="20" t="str">
        <x:v>PASS</x:v>
      </x:c>
      <x:c r="C26" s="20" t="str">
        <x:v>Imported from results.json QA contract</x:v>
      </x:c>
    </x:row>
    <x:row r="27">
      <x:c r="A27" s="21" t="str">
        <x:v>all_stagewise_not_below_aggregate</x:v>
      </x:c>
      <x:c r="B27" s="21" t="str">
        <x:v>PASS</x:v>
      </x:c>
      <x:c r="C27" s="21" t="str">
        <x:v>Imported from results.json QA contract</x:v>
      </x:c>
    </x:row>
    <x:row r="28">
      <x:c r="A28" s="21" t="str">
        <x:v>causal_flash_has_no_quadratic_temporary_write</x:v>
      </x:c>
      <x:c r="B28" s="21" t="str">
        <x:v>PASS</x:v>
      </x:c>
      <x:c r="C28" s="21" t="str">
        <x:v>Imported from results.json QA contract</x:v>
      </x:c>
    </x:row>
    <x:row r="29">
      <x:c r="A29" s="21" t="str">
        <x:v>cms_forward_read_is_not_divided_by_update_period</x:v>
      </x:c>
      <x:c r="B29" s="21" t="str">
        <x:v>PASS</x:v>
      </x:c>
      <x:c r="C29" s="21" t="str">
        <x:v>Imported from results.json QA contract</x:v>
      </x:c>
    </x:row>
    <x:row r="30">
      <x:c r="A30" s="21" t="str">
        <x:v>decode_kv_read_is_linear_in_context</x:v>
      </x:c>
      <x:c r="B30" s="21" t="str">
        <x:v>PASS</x:v>
      </x:c>
      <x:c r="C30" s="21" t="str">
        <x:v>Imported from results.json QA contract</x:v>
      </x:c>
    </x:row>
    <x:row r="31">
      <x:c r="A31" s="21" t="str">
        <x:v>flash_decode_partials_zero_at_one_split</x:v>
      </x:c>
      <x:c r="B31" s="21" t="str">
        <x:v>PASS</x:v>
      </x:c>
      <x:c r="C31" s="21" t="str">
        <x:v>Imported from results.json QA contract</x:v>
      </x:c>
    </x:row>
    <x:row r="32">
      <x:c r="A32" s="21" t="str">
        <x:v>hope_state_is_batch_linear</x:v>
      </x:c>
      <x:c r="B32" s="21" t="str">
        <x:v>PASS</x:v>
      </x:c>
      <x:c r="C32" s="21" t="str">
        <x:v>Imported from results.json QA contract</x:v>
      </x:c>
    </x:row>
    <x:row r="33">
      <x:c r="A33" s="21" t="str">
        <x:v>hope_state_is_context_independent</x:v>
      </x:c>
      <x:c r="B33" s="21" t="str">
        <x:v>PASS</x:v>
      </x:c>
      <x:c r="C33" s="21" t="str">
        <x:v>Imported from results.json QA contract</x:v>
      </x:c>
    </x:row>
    <x:row r="34">
      <x:c r="A34" s="21" t="str">
        <x:v>kv_append_is_context_independent</x:v>
      </x:c>
      <x:c r="B34" s="21" t="str">
        <x:v>PASS</x:v>
      </x:c>
      <x:c r="C34" s="21" t="str">
        <x:v>Imported from results.json QA contract</x:v>
      </x:c>
    </x:row>
    <x:row r="35">
      <x:c r="A35" s="21" t="str">
        <x:v>legacy_flops_anchor_matches</x:v>
      </x:c>
      <x:c r="B35" s="21" t="str">
        <x:v>PASS</x:v>
      </x:c>
      <x:c r="C35" s="21" t="str">
        <x:v>Imported from results.json QA contract</x:v>
      </x:c>
    </x:row>
    <x:row r="36">
      <x:c r="A36" s="21" t="str">
        <x:v>legacy_hbm_anchor_matches</x:v>
      </x:c>
      <x:c r="B36" s="21" t="str">
        <x:v>PASS</x:v>
      </x:c>
      <x:c r="C36" s="21" t="str">
        <x:v>Imported from results.json QA contract</x:v>
      </x:c>
    </x:row>
    <x:row r="37">
      <x:c r="A37" s="22" t="str">
        <x:v>shipped_default_has_no_M_q</x:v>
      </x:c>
      <x:c r="B37" s="22" t="str">
        <x:v>PASS</x:v>
      </x:c>
      <x:c r="C37" s="22" t="str">
        <x:v>Imported from results.json QA contract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62" hidden="0" customWidth="1"/>
    <x:col min="4" max="4" width="40" hidden="0" customWidth="1"/>
    <x:col min="5" max="5" width="44" hidden="0" customWidth="1"/>
  </x:cols>
  <x:sheetData>
    <x:row r="1" ht="28" customHeight="1">
      <x:c r="A1" s="3" t="str">
        <x:v>99 · Sources and provenance</x:v>
      </x:c>
      <x:c r="B1" s="3"/>
      <x:c r="C1" s="3"/>
      <x:c r="D1" s="3"/>
      <x:c r="E1" s="3"/>
    </x:row>
    <x:row r="2" ht="28" customHeight="1">
      <x:c r="A2" s="7" t="str">
        <x:v>Paths and public URLs needed to reproduce or audit the analytical companion.</x:v>
      </x:c>
      <x:c r="B2" s="7"/>
      <x:c r="C2" s="7"/>
      <x:c r="D2" s="7"/>
      <x:c r="E2" s="7"/>
    </x:row>
    <x:row r="5">
      <x:c r="A5" s="14" t="str">
        <x:v>Source</x:v>
      </x:c>
      <x:c r="B5" s="28" t="str">
        <x:v>Kind</x:v>
      </x:c>
      <x:c r="C5" s="28" t="str">
        <x:v>Location / URL</x:v>
      </x:c>
      <x:c r="D5" s="28" t="str">
        <x:v>Used for</x:v>
      </x:c>
      <x:c r="E5" s="15" t="str">
        <x:v>Notes</x:v>
      </x:c>
    </x:row>
    <x:row r="6">
      <x:c r="A6" s="20" t="str">
        <x:v>Verified engine output</x:v>
      </x:c>
      <x:c r="B6" s="20" t="str">
        <x:v>Repository file</x:v>
      </x:c>
      <x:c r="C6" s="23" t="str">
        <x:v>experiments/E5-attn-vs-hope/results.json</x:v>
      </x:c>
      <x:c r="D6" s="23" t="str">
        <x:v>Raw inputs, QA references, stage-order assertion</x:v>
      </x:c>
      <x:c r="E6" s="23" t="str">
        <x:v>Commit b142693 interface</x:v>
      </x:c>
    </x:row>
    <x:row r="7">
      <x:c r="A7" s="21" t="str">
        <x:v>Analytical model</x:v>
      </x:c>
      <x:c r="B7" s="21" t="str">
        <x:v>Repository file</x:v>
      </x:c>
      <x:c r="C7" s="24" t="str">
        <x:v>experiments/E5-attn-vs-hope/model.py</x:v>
      </x:c>
      <x:c r="D7" s="24" t="str">
        <x:v>Equations and stage semantics</x:v>
      </x:c>
      <x:c r="E7" s="24" t="str">
        <x:v>Read-only upstream</x:v>
      </x:c>
    </x:row>
    <x:row r="8">
      <x:c r="A8" s="21" t="str">
        <x:v>Approved design</x:v>
      </x:c>
      <x:c r="B8" s="21" t="str">
        <x:v>Repository file</x:v>
      </x:c>
      <x:c r="C8" s="24" t="str">
        <x:v>docs/superpowers/specs/2026-07-27-attn-vs-hope-analytical-model-design.md</x:v>
      </x:c>
      <x:c r="D8" s="24" t="str">
        <x:v>Workbook sections and validation contract</x:v>
      </x:c>
      <x:c r="E8" s="24" t="str">
        <x:v>Sections 4–9</x:v>
      </x:c>
    </x:row>
    <x:row r="9">
      <x:c r="A9" s="21" t="str">
        <x:v>Hardware twin</x:v>
      </x:c>
      <x:c r="B9" s="21" t="str">
        <x:v>Repository file</x:v>
      </x:c>
      <x:c r="C9" s="24" t="str">
        <x:v>multiarch/twins/h100.json</x:v>
      </x:c>
      <x:c r="D9" s="24" t="str">
        <x:v>Peak compute, HBM bandwidth/capacity</x:v>
      </x:c>
      <x:c r="E9" s="24" t="str">
        <x:v>2 FLOP/MAC * instances * peak_macs_per_s</x:v>
      </x:c>
    </x:row>
    <x:row r="10">
      <x:c r="A10" s="21" t="str">
        <x:v>Legacy HOPE proxy</x:v>
      </x:c>
      <x:c r="B10" s="21" t="str">
        <x:v>Repository file</x:v>
      </x:c>
      <x:c r="C10" s="24" t="str">
        <x:v>multiarch/hope_block_dag.py</x:v>
      </x:c>
      <x:c r="D10" s="24" t="str">
        <x:v>Legacy algebra QA anchor</x:v>
      </x:c>
      <x:c r="E10" s="24" t="str">
        <x:v>Not used as primary timing</x:v>
      </x:c>
    </x:row>
    <x:row r="11">
      <x:c r="A11" s="21" t="str">
        <x:v>Native live Sheet archive</x:v>
      </x:c>
      <x:c r="B11" s="21" t="str">
        <x:v>Repository file</x:v>
      </x:c>
      <x:c r="C11" s="24" t="str">
        <x:v>research/attn-vs-hope/Attn-vs-HOPE.xlsx</x:v>
      </x:c>
      <x:c r="D11" s="24" t="str">
        <x:v>User-reviewed one-tab artifact</x:v>
      </x:c>
      <x:c r="E11" s="24" t="str">
        <x:v>Kept separate and untouched</x:v>
      </x:c>
    </x:row>
    <x:row r="12">
      <x:c r="A12" s="21" t="str">
        <x:v>HOPE / Nested Learning</x:v>
      </x:c>
      <x:c r="B12" s="21" t="str">
        <x:v>Public paper</x:v>
      </x:c>
      <x:c r="C12" s="24" t="str">
        <x:v>https://arxiv.org/abs/2512.24695</x:v>
      </x:c>
      <x:c r="D12" s="24" t="str">
        <x:v>Architecture/equation evidence</x:v>
      </x:c>
      <x:c r="E12" s="24" t="str">
        <x:v>No official GPU kernel or wall-clock trace</x:v>
      </x:c>
    </x:row>
    <x:row r="13">
      <x:c r="A13" s="22" t="str">
        <x:v>Meeting research package</x:v>
      </x:c>
      <x:c r="B13" s="22" t="str">
        <x:v>Repository directory</x:v>
      </x:c>
      <x:c r="C13" s="25" t="str">
        <x:v>research/google-meeting/</x:v>
      </x:c>
      <x:c r="D13" s="25" t="str">
        <x:v>Evidence map and deployment questions</x:v>
      </x:c>
      <x:c r="E13" s="25" t="str">
        <x:v>Context only</x:v>
      </x:c>
    </x:row>
  </x:sheetData>
  <x:mergeCells>
    <x:mergeCell ref="A1:E1"/>
    <x:mergeCell ref="A2:E2"/>
  </x:mergeCells>
  <x:pageMargins left="0.7" right="0.7" top="0.75" bottom="0.75" header="0.3" footer="0.3"/>
</x:worksheet>
</file>