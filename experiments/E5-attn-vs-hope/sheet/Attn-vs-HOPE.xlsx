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11f1ac300c48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Guide" sheetId="1" r:id="R9be84727da2d4928"/>
    <x:sheet xmlns:r="http://schemas.openxmlformats.org/officeDocument/2006/relationships" name="01_Inputs" sheetId="2" r:id="R6afd24d2e8784997"/>
    <x:sheet xmlns:r="http://schemas.openxmlformats.org/officeDocument/2006/relationships" name="02_HW" sheetId="3" r:id="Read36b07709a4f39"/>
    <x:sheet xmlns:r="http://schemas.openxmlformats.org/officeDocument/2006/relationships" name="10_AttnMoE_Prefill" sheetId="4" r:id="R15e0ebbe42f3420d"/>
    <x:sheet xmlns:r="http://schemas.openxmlformats.org/officeDocument/2006/relationships" name="11_AttnMoE_Decode" sheetId="5" r:id="R0ad6ec79d7df4667"/>
    <x:sheet xmlns:r="http://schemas.openxmlformats.org/officeDocument/2006/relationships" name="20_HOPE_Prefill" sheetId="6" r:id="Rf1b26f80a0bc4b23"/>
    <x:sheet xmlns:r="http://schemas.openxmlformats.org/officeDocument/2006/relationships" name="21_HOPE_Decode" sheetId="7" r:id="R50012d8c19da4869"/>
    <x:sheet xmlns:r="http://schemas.openxmlformats.org/officeDocument/2006/relationships" name="30_Compare" sheetId="8" r:id="R5a7d8b2eb9624477"/>
    <x:sheet xmlns:r="http://schemas.openxmlformats.org/officeDocument/2006/relationships" name="40_Sweeps" sheetId="9" r:id="R208a12f33cbd4121"/>
    <x:sheet xmlns:r="http://schemas.openxmlformats.org/officeDocument/2006/relationships" name="90_QA" sheetId="10" r:id="Rfb63325a6c044557"/>
    <x:sheet xmlns:r="http://schemas.openxmlformats.org/officeDocument/2006/relationships" name="99_Sources" sheetId="11" r:id="R514ff57756614c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#,##0.############"/>
    <x:numFmt numFmtId="201" formatCode="0.############E+00"/>
    <x:numFmt numFmtId="202" formatCode="0.000E+00"/>
    <x:numFmt numFmtId="203" formatCode="0.000"/>
    <x:numFmt numFmtId="204" formatCode="0.000000"/>
    <x:numFmt numFmtId="205" formatCode="#,##0.00"/>
    <x:numFmt numFmtId="206" formatCode="#,##0"/>
    <x:numFmt numFmtId="207" formatCode="0.00E+00"/>
    <x:numFmt numFmtId="208" formatCode="0.0000000000E+00"/>
  </x:numFmts>
  <x:fonts count="6">
    <x:font>
      <x:sz val="11"/>
      <x:name val="Carlito"/>
    </x:font>
    <x:font>
      <x:b/>
      <x:sz val="15"/>
      <x:color rgb="FFFFFFFF"/>
      <x:name val="Carlito"/>
    </x:font>
    <x:font>
      <x:i/>
      <x:sz val="9"/>
      <x:color rgb="FF263746"/>
      <x:name val="Carlito"/>
    </x:font>
    <x:font>
      <x:b/>
      <x:sz val="9"/>
      <x:color rgb="FFFFFFFF"/>
      <x:name val="Carlito"/>
    </x:font>
    <x:font>
      <x:sz val="9"/>
      <x:color rgb="FF263746"/>
      <x:name val="Carlito"/>
    </x:font>
    <x:font>
      <x:b/>
      <x:i/>
      <x:sz val="9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F6B9A"/>
      </x:patternFill>
    </x:fill>
    <x:fill>
      <x:patternFill patternType="solid">
        <x:fgColor rgb="FF667788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DF"/>
      </x:left>
      <x:top style="thin">
        <x:color rgb="FFCBD5DF"/>
      </x:top>
      <x:bottom style="thin">
        <x:color rgb="FFCBD5DF"/>
      </x:bottom>
    </x:border>
    <x:border>
      <x:right style="thin">
        <x:color rgb="FFCBD5DF"/>
      </x:right>
      <x:top style="thin">
        <x:color rgb="FFCBD5DF"/>
      </x:top>
      <x:bottom style="thin">
        <x:color rgb="FFCBD5DF"/>
      </x:bottom>
    </x:border>
    <x:border>
      <x:bottom style="thin">
        <x:color rgb="FFE4E9EE"/>
      </x:bottom>
    </x:border>
    <x:border>
      <x:top style="thin">
        <x:color rgb="FFE4E9EE"/>
      </x:top>
      <x:bottom style="thin">
        <x:color rgb="FFE4E9EE"/>
      </x:bottom>
    </x:border>
    <x:border>
      <x:top style="thin">
        <x:color rgb="FFE4E9EE"/>
      </x:top>
      <x:bottom style="thin">
        <x:color rgb="FFCBD5DF"/>
      </x:bottom>
    </x:border>
    <x:border>
      <x:top style="thin">
        <x:color rgb="FFCBD5DF"/>
      </x:top>
      <x:bottom style="thin">
        <x:color rgb="FFCBD5DF"/>
      </x:bottom>
    </x:border>
    <x:border>
      <x:bottom style="thin">
        <x:color rgb="FFCBD5DF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top"/>
    </x:xf>
    <x:xf numFmtId="0" fontId="4" fillId="0" borderId="4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/>
    </x:xf>
    <x:xf numFmtId="200" fontId="4" fillId="0" borderId="4" xfId="0" applyNumberFormat="1" applyFont="1" applyFill="1" applyBorder="1" applyAlignment="1">
      <x:alignment vertical="top"/>
    </x:xf>
    <x:xf numFmtId="200" fontId="4" fillId="0" borderId="5" xfId="0" applyNumberFormat="1" applyFont="1" applyFill="1" applyBorder="1" applyAlignment="1">
      <x:alignment vertical="top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6" xfId="0" applyNumberFormat="1" applyFont="1" applyFill="1" applyBorder="1"/>
    <x:xf numFmtId="0" fontId="3" fillId="2" borderId="2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6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6" xfId="0" applyNumberFormat="1" applyFont="1" applyFill="1" applyBorder="1"/>
    <x:xf numFmtId="0" fontId="3" fillId="5" borderId="2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6" xfId="0" applyNumberFormat="1" applyFont="1" applyFill="1" applyBorder="1" applyAlignment="1">
      <x:alignment wrapText="1"/>
    </x:xf>
    <x:xf numFmtId="0" fontId="3" fillId="5" borderId="2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201" fontId="4" fillId="0" borderId="3" xfId="0" applyNumberFormat="1" applyFont="1" applyFill="1" applyBorder="1" applyAlignment="1">
      <x:alignment vertical="top"/>
    </x:xf>
    <x:xf numFmtId="201" fontId="4" fillId="0" borderId="4" xfId="0" applyNumberFormat="1" applyFont="1" applyFill="1" applyBorder="1" applyAlignment="1">
      <x:alignment vertical="top"/>
    </x:xf>
    <x:xf numFmtId="201" fontId="4" fillId="0" borderId="5" xfId="0" applyNumberFormat="1" applyFont="1" applyFill="1" applyBorder="1" applyAlignment="1">
      <x:alignment vertical="top"/>
    </x:xf>
    <x:xf numFmtId="0" fontId="2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/>
    <x:xf numFmtId="0" fontId="4" fillId="0" borderId="7" xfId="0" applyNumberFormat="1" applyFont="1" applyFill="1" applyBorder="1" applyAlignment="1">
      <x:alignment vertical="top"/>
    </x:xf>
    <x:xf numFmtId="202" fontId="4" fillId="0" borderId="7" xfId="0" applyNumberFormat="1" applyFont="1" applyFill="1" applyBorder="1" applyAlignment="1">
      <x:alignment vertical="top"/>
    </x:xf>
    <x:xf numFmtId="203" fontId="4" fillId="0" borderId="7" xfId="0" applyNumberFormat="1" applyFont="1" applyFill="1" applyBorder="1" applyAlignment="1">
      <x:alignment vertical="top"/>
    </x:xf>
    <x:xf numFmtId="204" fontId="4" fillId="0" borderId="3" xfId="0" applyNumberFormat="1" applyFont="1" applyFill="1" applyBorder="1" applyAlignment="1">
      <x:alignment vertical="top"/>
    </x:xf>
    <x:xf numFmtId="204" fontId="4" fillId="0" borderId="4" xfId="0" applyNumberFormat="1" applyFont="1" applyFill="1" applyBorder="1" applyAlignment="1">
      <x:alignment vertical="top"/>
    </x:xf>
    <x:xf numFmtId="204" fontId="4" fillId="0" borderId="5" xfId="0" applyNumberFormat="1" applyFont="1" applyFill="1" applyBorder="1" applyAlignment="1">
      <x:alignment vertical="top"/>
    </x:xf>
    <x:xf numFmtId="205" fontId="4" fillId="0" borderId="3" xfId="0" applyNumberFormat="1" applyFont="1" applyFill="1" applyBorder="1" applyAlignment="1">
      <x:alignment vertical="top"/>
    </x:xf>
    <x:xf numFmtId="205" fontId="4" fillId="0" borderId="4" xfId="0" applyNumberFormat="1" applyFont="1" applyFill="1" applyBorder="1" applyAlignment="1">
      <x:alignment vertical="top"/>
    </x:xf>
    <x:xf numFmtId="205" fontId="4" fillId="0" borderId="5" xfId="0" applyNumberFormat="1" applyFont="1" applyFill="1" applyBorder="1" applyAlignment="1">
      <x:alignment vertical="top"/>
    </x:xf>
    <x:xf numFmtId="0" fontId="2" fillId="6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202" fontId="4" fillId="0" borderId="3" xfId="0" applyNumberFormat="1" applyFont="1" applyFill="1" applyBorder="1" applyAlignment="1">
      <x:alignment vertical="top"/>
    </x:xf>
    <x:xf numFmtId="202" fontId="4" fillId="0" borderId="4" xfId="0" applyNumberFormat="1" applyFont="1" applyFill="1" applyBorder="1" applyAlignment="1">
      <x:alignment vertical="top"/>
    </x:xf>
    <x:xf numFmtId="202" fontId="4" fillId="0" borderId="5" xfId="0" applyNumberFormat="1" applyFont="1" applyFill="1" applyBorder="1" applyAlignment="1">
      <x:alignment vertical="top"/>
    </x:xf>
    <x:xf numFmtId="204" fontId="3" fillId="5" borderId="6" xfId="0" applyNumberFormat="1" applyFont="1" applyFill="1" applyBorder="1" applyAlignment="1">
      <x:alignment vertical="center" wrapText="1"/>
    </x:xf>
    <x:xf numFmtId="204" fontId="3" fillId="5" borderId="2" xfId="0" applyNumberFormat="1" applyFont="1" applyFill="1" applyBorder="1" applyAlignment="1">
      <x:alignment vertical="center" wrapText="1"/>
    </x:xf>
    <x:xf numFmtId="206" fontId="4" fillId="0" borderId="3" xfId="0" applyNumberFormat="1" applyFont="1" applyFill="1" applyBorder="1" applyAlignment="1">
      <x:alignment vertical="top"/>
    </x:xf>
    <x:xf numFmtId="206" fontId="4" fillId="0" borderId="4" xfId="0" applyNumberFormat="1" applyFont="1" applyFill="1" applyBorder="1" applyAlignment="1">
      <x:alignment vertical="top"/>
    </x:xf>
    <x:xf numFmtId="206" fontId="4" fillId="0" borderId="5" xfId="0" applyNumberFormat="1" applyFont="1" applyFill="1" applyBorder="1" applyAlignment="1">
      <x:alignment vertical="top"/>
    </x:xf>
    <x:xf numFmtId="207" fontId="4" fillId="0" borderId="3" xfId="0" applyNumberFormat="1" applyFont="1" applyFill="1" applyBorder="1" applyAlignment="1">
      <x:alignment vertical="top"/>
    </x:xf>
    <x:xf numFmtId="207" fontId="4" fillId="0" borderId="4" xfId="0" applyNumberFormat="1" applyFont="1" applyFill="1" applyBorder="1" applyAlignment="1">
      <x:alignment vertical="top"/>
    </x:xf>
    <x:xf numFmtId="207" fontId="4" fillId="0" borderId="5" xfId="0" applyNumberFormat="1" applyFont="1" applyFill="1" applyBorder="1" applyAlignment="1">
      <x:alignment vertical="top"/>
    </x:xf>
    <x:xf numFmtId="203" fontId="4" fillId="0" borderId="3" xfId="0" applyNumberFormat="1" applyFont="1" applyFill="1" applyBorder="1" applyAlignment="1">
      <x:alignment vertical="top"/>
    </x:xf>
    <x:xf numFmtId="203" fontId="4" fillId="0" borderId="4" xfId="0" applyNumberFormat="1" applyFont="1" applyFill="1" applyBorder="1" applyAlignment="1">
      <x:alignment vertical="top"/>
    </x:xf>
    <x:xf numFmtId="203" fontId="4" fillId="0" borderId="5" xfId="0" applyNumberFormat="1" applyFont="1" applyFill="1" applyBorder="1" applyAlignment="1">
      <x:alignment vertical="top"/>
    </x:xf>
    <x:xf numFmtId="208" fontId="4" fillId="0" borderId="3" xfId="0" applyNumberFormat="1" applyFont="1" applyFill="1" applyBorder="1" applyAlignment="1">
      <x:alignment vertical="top"/>
    </x:xf>
    <x:xf numFmtId="208" fontId="4" fillId="0" borderId="4" xfId="0" applyNumberFormat="1" applyFont="1" applyFill="1" applyBorder="1" applyAlignment="1">
      <x:alignment vertical="top"/>
    </x:xf>
    <x:xf numFmtId="208" fontId="4" fillId="0" borderId="5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43a25be9a54fa8" /><Relationship Type="http://schemas.openxmlformats.org/officeDocument/2006/relationships/theme" Target="/xl/theme/theme1.xml" Id="Rd8d759540be54e57" /><Relationship Type="http://schemas.openxmlformats.org/officeDocument/2006/relationships/sharedStrings" Target="/xl/sharedStrings.xml" Id="R298daf4eff0e4306" /><Relationship Type="http://schemas.openxmlformats.org/officeDocument/2006/relationships/worksheet" Target="/xl/worksheets/sheet1.xml" Id="R9be84727da2d4928" /><Relationship Type="http://schemas.openxmlformats.org/officeDocument/2006/relationships/worksheet" Target="/xl/worksheets/sheet2.xml" Id="R6afd24d2e8784997" /><Relationship Type="http://schemas.openxmlformats.org/officeDocument/2006/relationships/worksheet" Target="/xl/worksheets/sheet3.xml" Id="Read36b07709a4f39" /><Relationship Type="http://schemas.openxmlformats.org/officeDocument/2006/relationships/worksheet" Target="/xl/worksheets/sheet4.xml" Id="R15e0ebbe42f3420d" /><Relationship Type="http://schemas.openxmlformats.org/officeDocument/2006/relationships/worksheet" Target="/xl/worksheets/sheet5.xml" Id="R0ad6ec79d7df4667" /><Relationship Type="http://schemas.openxmlformats.org/officeDocument/2006/relationships/worksheet" Target="/xl/worksheets/sheet6.xml" Id="Rf1b26f80a0bc4b23" /><Relationship Type="http://schemas.openxmlformats.org/officeDocument/2006/relationships/worksheet" Target="/xl/worksheets/sheet7.xml" Id="R50012d8c19da4869" /><Relationship Type="http://schemas.openxmlformats.org/officeDocument/2006/relationships/worksheet" Target="/xl/worksheets/sheet8.xml" Id="R5a7d8b2eb9624477" /><Relationship Type="http://schemas.openxmlformats.org/officeDocument/2006/relationships/worksheet" Target="/xl/worksheets/sheet9.xml" Id="R208a12f33cbd4121" /><Relationship Type="http://schemas.openxmlformats.org/officeDocument/2006/relationships/worksheet" Target="/xl/worksheets/sheet10.xml" Id="Rfb63325a6c044557" /><Relationship Type="http://schemas.openxmlformats.org/officeDocument/2006/relationships/worksheet" Target="/xl/worksheets/sheet11.xml" Id="R514ff57756614cb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10789b7931e4aef" /><Relationship Type="http://schemas.openxmlformats.org/officeDocument/2006/relationships/chart" Target="/xl/drawings/charts/chart2.xml" Id="Rceaeeec0462241a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cdaabd929cc340d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TTFT/ITL invocation diagnostics (ms; prefill is full sequence)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Stagewise ms</c:v>
          </c:tx>
          <c:cat>
            <c:strRef>
              <c:f>'30_Compare'!$A$6:$A$9</c:f>
              <c:strCache>
                <c:ptCount val="0"/>
              </c:strCache>
            </c:strRef>
          </c:cat>
          <c:val>
            <c:numRef>
              <c:f>'30_Compare'!$B$6:$B$9</c:f>
              <c:numCache>
                <c:formatCode>0.000000</c:formatCode>
                <c:ptCount val="0"/>
              </c:numCache>
            </c:numRef>
          </c:val>
        </c:ser>
        <c:ser>
          <c:idx val="1"/>
          <c:order val="1"/>
          <c:tx>
            <c:v>Aggregate ms</c:v>
          </c:tx>
          <c:cat>
            <c:strRef>
              <c:f>'30_Compare'!$A$6:$A$9</c:f>
              <c:strCache>
                <c:ptCount val="0"/>
              </c:strCache>
            </c:strRef>
          </c:cat>
          <c:val>
            <c:numRef>
              <c:f>'30_Compare'!$C$6:$C$9</c:f>
              <c:numCache>
                <c:formatCode>0.000000</c:formatCode>
                <c:ptCount val="0"/>
              </c:numCache>
            </c:numRef>
          </c:val>
        </c:ser>
        <c:ser>
          <c:idx val="2"/>
          <c:order val="2"/>
          <c:tx>
            <c:v>Compute ms</c:v>
          </c:tx>
          <c:cat>
            <c:strRef>
              <c:f>'30_Compare'!$A$6:$A$9</c:f>
              <c:strCache>
                <c:ptCount val="0"/>
              </c:strCache>
            </c:strRef>
          </c:cat>
          <c:val>
            <c:numRef>
              <c:f>'30_Compare'!$D$6:$D$9</c:f>
              <c:numCache>
                <c:formatCode>0.000000</c:formatCode>
                <c:ptCount val="0"/>
              </c:numCache>
            </c:numRef>
          </c:val>
        </c:ser>
        <c:ser>
          <c:idx val="3"/>
          <c:order val="3"/>
          <c:tx>
            <c:v>HBM ms</c:v>
          </c:tx>
          <c:cat>
            <c:strRef>
              <c:f>'30_Compare'!$A$6:$A$9</c:f>
              <c:strCache>
                <c:ptCount val="0"/>
              </c:strCache>
            </c:strRef>
          </c:cat>
          <c:val>
            <c:numRef>
              <c:f>'30_Compare'!$E$6:$E$9</c:f>
              <c:numCache>
                <c:formatCode>0.000000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Roofline scatter: AI vs effective TFLOP/s</a:t>
            </a:r>
          </a:p>
        </c:rich>
      </c:tx>
    </c:title>
    <c:plotArea>
      <c:scatterChart>
        <c:scatterStyle val="marker"/>
        <c:ser>
          <c:idx val="0"/>
          <c:order val="0"/>
          <c:tx>
            <c:v>Effective TFLOP/s</c:v>
          </c:tx>
          <c:xVal>
            <c:numRef>
              <c:f>'30_Compare'!$R$6:$R$9</c:f>
              <c:numCache>
                <c:formatCode>General</c:formatCode>
                <c:ptCount val="0"/>
              </c:numCache>
            </c:numRef>
          </c:xVal>
          <c:yVal>
            <c:numRef>
              <c:f>'30_Compare'!$S$6:$S$9</c:f>
              <c:numCache>
                <c:formatCode>0.000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ickLblPos val="nextTo"/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Context sweep: forward-primary ITL with online sensitivity (ms)</a:t>
            </a:r>
          </a:p>
        </c:rich>
      </c:tx>
    </c:title>
    <c:plotArea>
      <c:lineChart>
        <c:grouping val="standard"/>
        <c:ser>
          <c:idx val="0"/>
          <c:order val="0"/>
          <c:tx>
            <c:v>Attention ITL ms</c:v>
          </c:tx>
          <c:marker>
            <c:symbol val="none"/>
          </c:marker>
          <c:cat>
            <c:strRef>
              <c:f>'40_Sweeps'!$A$6:$A$11</c:f>
              <c:strCache>
                <c:ptCount val="0"/>
              </c:strCache>
            </c:strRef>
          </c:cat>
          <c:val>
            <c:numRef>
              <c:f>'40_Sweeps'!$B$6:$B$11</c:f>
              <c:numCache>
                <c:formatCode>0.000000</c:formatCode>
                <c:ptCount val="0"/>
              </c:numCache>
            </c:numRef>
          </c:val>
        </c:ser>
        <c:ser>
          <c:idx val="1"/>
          <c:order val="1"/>
          <c:tx>
            <c:v>HOPE forward ITL ms (primary)</c:v>
          </c:tx>
          <c:marker>
            <c:symbol val="none"/>
          </c:marker>
          <c:cat>
            <c:strRef>
              <c:f>'40_Sweeps'!$A$6:$A$11</c:f>
              <c:strCache>
                <c:ptCount val="0"/>
              </c:strCache>
            </c:strRef>
          </c:cat>
          <c:val>
            <c:numRef>
              <c:f>'40_Sweeps'!$C$6:$C$11</c:f>
              <c:numCache>
                <c:formatCode>0.000000</c:formatCode>
                <c:ptCount val="0"/>
              </c:numCache>
            </c:numRef>
          </c:val>
        </c:ser>
        <c:ser>
          <c:idx val="2"/>
          <c:order val="2"/>
          <c:tx>
            <c:v>HOPE including-online ITL ms</c:v>
          </c:tx>
          <c:marker>
            <c:symbol val="none"/>
          </c:marker>
          <c:cat>
            <c:strRef>
              <c:f>'40_Sweeps'!$A$6:$A$11</c:f>
              <c:strCache>
                <c:ptCount val="0"/>
              </c:strCache>
            </c:strRef>
          </c:cat>
          <c:val>
            <c:numRef>
              <c:f>'40_Sweeps'!$D$6:$D$11</c:f>
              <c:numCache>
                <c:formatCode>0.000000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20</xdr:col>
      <xdr:colOff>0</xdr:colOff>
      <xdr:row>3</xdr:row>
      <xdr:rowOff>0</xdr:rowOff>
    </xdr:from>
    <xdr:to>
      <xdr:col>29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0789b7931e4aef"/>
        </a:graphicData>
      </a:graphic>
    </xdr:graphicFrame>
    <xdr:clientData/>
  </xdr:twoCellAnchor>
  <xdr:twoCellAnchor>
    <xdr:from>
      <xdr:col>20</xdr:col>
      <xdr:colOff>0</xdr:colOff>
      <xdr:row>18</xdr:row>
      <xdr:rowOff>0</xdr:rowOff>
    </xdr:from>
    <xdr:to>
      <xdr:col>29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aeeec0462241a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3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aabd929cc340d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c73fe9313bb64d2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2.xml" Id="R2cf1f4a77fa249e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6" hidden="0" customWidth="1"/>
  </x:cols>
  <x:sheetData>
    <x:row r="1" ht="28" customHeight="1">
      <x:c r="A1" s="3" t="str">
        <x:v>Attn vs HOPE · reproducible workbook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Generated 11-tab companion to the verified E5 analytical engine.</x:v>
      </x:c>
      <x:c r="B2" s="7"/>
      <x:c r="C2" s="7"/>
      <x:c r="D2" s="7"/>
      <x:c r="E2" s="7"/>
      <x:c r="F2" s="7"/>
      <x:c r="G2" s="7"/>
      <x:c r="H2" s="7"/>
    </x:row>
    <x:row r="4">
      <x:c r="A4" s="14" t="str">
        <x:v>Topic</x:v>
      </x:c>
      <x:c r="B4" s="15" t="str">
        <x:v>Guidance</x:v>
      </x:c>
    </x:row>
    <x:row r="5">
      <x:c r="A5" s="20" t="str">
        <x:v>Purpose</x:v>
      </x:c>
      <x:c r="B5" s="23" t="str">
        <x:v>Formula-driven analytical companion; edit assumptions only in 01_Inputs and 02_HW.</x:v>
      </x:c>
    </x:row>
    <x:row r="6">
      <x:c r="A6" s="21" t="str">
        <x:v>Scope</x:v>
      </x:c>
      <x:c r="B6" s="24" t="str">
        <x:v>One full-attention + MoE block versus shipped-credible HOPE; analytical lower bounds, not measured wall clock.</x:v>
      </x:c>
    </x:row>
    <x:row r="7">
      <x:c r="A7" s="21" t="str">
        <x:v>Lineage</x:v>
      </x:c>
      <x:c r="B7" s="24" t="str">
        <x:v>results.json supplies raw assumptions and QA references. Calculation, comparison, and sweep cells are workbook formulas.</x:v>
      </x:c>
    </x:row>
    <x:row r="8">
      <x:c r="A8" s="21" t="str">
        <x:v>Live Sheet distinction</x:v>
      </x:c>
      <x:c r="B8" s="24" t="str">
        <x:v>This generated 11-tab workbook is separate from the user's native one-tab live Sheet archived under research/attn-vs-hope; that artifact is not modified.</x:v>
      </x:c>
    </x:row>
    <x:row r="9">
      <x:c r="A9" s="21" t="str">
        <x:v>Primary latency</x:v>
      </x:c>
      <x:c r="B9" s="24" t="str">
        <x:v>Stagewise sequential sum: Σ(max(compute, HBM) + launch). Aggregate roofline is an optimistic diagnostic.</x:v>
      </x:c>
    </x:row>
    <x:row r="10">
      <x:c r="A10" s="21" t="str">
        <x:v>HOPE dependency</x:v>
      </x:c>
      <x:c r="B10" s="24" t="str">
        <x:v>Stable order is Titans forward → CMS forward → loss → backward + update. Group summaries contain no synthetic stages.</x:v>
      </x:c>
    </x:row>
    <x:row r="11">
      <x:c r="A11" s="21" t="str">
        <x:v>End-to-end timing</x:v>
      </x:c>
      <x:c r="B11" s="24" t="str">
        <x:v>Attention TTFT is one full-ISL invocation; HOPE TTFT multiplies per-chunk groups by 64. ITL is one Q=1 token and never multiplies OSL.</x:v>
      </x:c>
    </x:row>
    <x:row r="12">
      <x:c r="A12" s="21" t="str">
        <x:v>CMS sparsity</x:v>
      </x:c>
      <x:c r="B12" s="24" t="str">
        <x:v>Capacity 64/128/256 controls residency; compute uses router plus top-k=1 active rank-64 expert A/B matrices.</x:v>
      </x:c>
    </x:row>
    <x:row r="13">
      <x:c r="A13" s="21" t="str">
        <x:v>HBM fit</x:v>
      </x:c>
      <x:c r="B13" s="24" t="str">
        <x:v>Persistent request state is compared with device HBM capacity; model weights and runtime workspace are outside this fit flag.</x:v>
      </x:c>
    </x:row>
    <x:row r="14">
      <x:c r="A14" s="21" t="str">
        <x:v>Charts</x:v>
      </x:c>
      <x:c r="B14" s="24" t="str">
        <x:v>Only three approved native charts: full-invocation latency diagnostics, roofline scatter, and context forward/sensitivity ITL sweep.</x:v>
      </x:c>
    </x:row>
    <x:row r="15">
      <x:c r="A15" s="22" t="str">
        <x:v>Rebuild</x:v>
      </x:c>
      <x:c r="B15" s="25" t="str">
        <x:v>Run build_workbook.mjs with the bundled @oai/artifact-tool runtime. See DESKTOP-HANDOFF.md.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16" hidden="0" customWidth="1"/>
    <x:col min="4" max="4" width="18" hidden="0" customWidth="1"/>
    <x:col min="5" max="5" width="48" hidden="0" customWidth="1"/>
    <x:col min="6" max="6" width="38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8" customHeight="1">
      <x:c r="A1" s="3" t="str">
        <x:v>01 · Model inputs</x:v>
      </x:c>
      <x:c r="B1" s="3"/>
      <x:c r="C1" s="3"/>
      <x:c r="D1" s="3"/>
      <x:c r="E1" s="3"/>
      <x:c r="F1" s="3"/>
      <x:c r="G1" s="3"/>
      <x:c r="H1" s="3"/>
      <x:c r="I1" s="3"/>
    </x:row>
    <x:row r="2" ht="28" customHeight="1">
      <x:c r="A2" s="7" t="str">
        <x:v>Editable/raw model assumptions imported from results.json. Derived values live only in formula sheets.</x:v>
      </x:c>
      <x:c r="B2" s="7"/>
      <x:c r="C2" s="7"/>
      <x:c r="D2" s="7"/>
      <x:c r="E2" s="7"/>
      <x:c r="F2" s="7"/>
      <x:c r="G2" s="7"/>
      <x:c r="H2" s="7"/>
      <x:c r="I2" s="7"/>
    </x:row>
    <x:row r="4">
      <x:c r="A4" s="14" t="str">
        <x:v>Key</x:v>
      </x:c>
      <x:c r="B4" s="28" t="str">
        <x:v>Input</x:v>
      </x:c>
      <x:c r="C4" s="28" t="str">
        <x:v>Value</x:v>
      </x:c>
      <x:c r="D4" s="28" t="str">
        <x:v>Unit</x:v>
      </x:c>
      <x:c r="E4" s="28" t="str">
        <x:v>Engine path</x:v>
      </x:c>
      <x:c r="F4" s="15" t="str">
        <x:v>Notes</x:v>
      </x:c>
    </x:row>
    <x:row r="5">
      <x:c r="A5" s="20" t="str">
        <x:v>batch</x:v>
      </x:c>
      <x:c r="B5" s="20" t="str">
        <x:v>Batch</x:v>
      </x:c>
      <x:c r="C5" s="29" t="n">
        <x:v>32</x:v>
      </x:c>
      <x:c r="D5" s="20" t="str">
        <x:v>requests</x:v>
      </x:c>
      <x:c r="E5" s="20" t="str">
        <x:v>attention_moe.inputs.decode.batch</x:v>
      </x:c>
      <x:c r="F5" s="20" t="str">
        <x:v>Baseline request batch</x:v>
      </x:c>
    </x:row>
    <x:row r="6">
      <x:c r="A6" s="21" t="str">
        <x:v>prefill_query_tokens</x:v>
      </x:c>
      <x:c r="B6" s="21" t="str">
        <x:v>Attention prefill Q</x:v>
      </x:c>
      <x:c r="C6" s="30" t="n">
        <x:v>131072</x:v>
      </x:c>
      <x:c r="D6" s="21" t="str">
        <x:v>tokens/request</x:v>
      </x:c>
      <x:c r="E6" s="21" t="str">
        <x:v>attention_moe.inputs.prefill.query_tokens</x:v>
      </x:c>
      <x:c r="F6" s="21" t="str">
        <x:v>Full ISL in one causal invocation</x:v>
      </x:c>
    </x:row>
    <x:row r="7">
      <x:c r="A7" s="21" t="str">
        <x:v>prefill_context_tokens</x:v>
      </x:c>
      <x:c r="B7" s="21" t="str">
        <x:v>Attention prefill K</x:v>
      </x:c>
      <x:c r="C7" s="30" t="n">
        <x:v>131072</x:v>
      </x:c>
      <x:c r="D7" s="21" t="str">
        <x:v>tokens/request</x:v>
      </x:c>
      <x:c r="E7" s="21" t="str">
        <x:v>attention_moe.inputs.prefill.context_tokens</x:v>
      </x:c>
      <x:c r="F7" s="21" t="str">
        <x:v>Full ISL visible to FlashAttention</x:v>
      </x:c>
    </x:row>
    <x:row r="8">
      <x:c r="A8" s="21" t="str">
        <x:v>hope_prefill_chunk_tokens</x:v>
      </x:c>
      <x:c r="B8" s="21" t="str">
        <x:v>HOPE prefill chunk</x:v>
      </x:c>
      <x:c r="C8" s="30" t="n">
        <x:v>2048</x:v>
      </x:c>
      <x:c r="D8" s="21" t="str">
        <x:v>tokens/request</x:v>
      </x:c>
      <x:c r="E8" s="21" t="str">
        <x:v>hope_scenarios.shipped_credible_momentum.inputs.prefill.query_tokens</x:v>
      </x:c>
      <x:c r="F8" s="21" t="str">
        <x:v>One parallelizable operational chunk</x:v>
      </x:c>
    </x:row>
    <x:row r="9">
      <x:c r="A9" s="21" t="str">
        <x:v>prefill_chunks</x:v>
      </x:c>
      <x:c r="B9" s="21" t="str">
        <x:v>HOPE prefill chunks</x:v>
      </x:c>
      <x:c r="C9" s="30" t="n">
        <x:v>64</x:v>
      </x:c>
      <x:c r="D9" s="21" t="str">
        <x:v>chunks</x:v>
      </x:c>
      <x:c r="E9" s="21" t="str">
        <x:v>model_inputs.prefill_chunks</x:v>
      </x:c>
      <x:c r="F9" s="21" t="str">
        <x:v>Applied only when forming TTFT</x:v>
      </x:c>
    </x:row>
    <x:row r="10">
      <x:c r="A10" s="21" t="str">
        <x:v>decode_query_tokens</x:v>
      </x:c>
      <x:c r="B10" s="21" t="str">
        <x:v>Decode Q</x:v>
      </x:c>
      <x:c r="C10" s="30" t="n">
        <x:v>1</x:v>
      </x:c>
      <x:c r="D10" s="21" t="str">
        <x:v>tokens/request</x:v>
      </x:c>
      <x:c r="E10" s="21" t="str">
        <x:v>attention_moe.inputs.decode.query_tokens</x:v>
      </x:c>
      <x:c r="F10" s="21" t="str">
        <x:v>Exactly one token</x:v>
      </x:c>
    </x:row>
    <x:row r="11">
      <x:c r="A11" s="21" t="str">
        <x:v>decode_context_tokens</x:v>
      </x:c>
      <x:c r="B11" s="21" t="str">
        <x:v>Decode K</x:v>
      </x:c>
      <x:c r="C11" s="30" t="n">
        <x:v>131072</x:v>
      </x:c>
      <x:c r="D11" s="21" t="str">
        <x:v>tokens/request</x:v>
      </x:c>
      <x:c r="E11" s="21" t="str">
        <x:v>attention_moe.inputs.decode.context_tokens</x:v>
      </x:c>
      <x:c r="F11" s="21" t="str">
        <x:v>Current context</x:v>
      </x:c>
    </x:row>
    <x:row r="12">
      <x:c r="A12" s="21" t="str">
        <x:v>model_dim</x:v>
      </x:c>
      <x:c r="B12" s="21" t="str">
        <x:v>Model width D</x:v>
      </x:c>
      <x:c r="C12" s="30" t="n">
        <x:v>8192</x:v>
      </x:c>
      <x:c r="D12" s="21" t="str">
        <x:v>elements</x:v>
      </x:c>
      <x:c r="E12" s="21" t="str">
        <x:v>model_inputs.model_dim</x:v>
      </x:c>
      <x:c r="F12" s="21" t="str">
        <x:v>Shared model width</x:v>
      </x:c>
    </x:row>
    <x:row r="13">
      <x:c r="A13" s="21" t="str">
        <x:v>head_dim</x:v>
      </x:c>
      <x:c r="B13" s="21" t="str">
        <x:v>Head width d_h</x:v>
      </x:c>
      <x:c r="C13" s="30" t="n">
        <x:v>128</x:v>
      </x:c>
      <x:c r="D13" s="21" t="str">
        <x:v>elements</x:v>
      </x:c>
      <x:c r="E13" s="21" t="str">
        <x:v>model_inputs.head_dim</x:v>
      </x:c>
      <x:c r="F13" s="21" t="str">
        <x:v>Per-head width</x:v>
      </x:c>
    </x:row>
    <x:row r="14">
      <x:c r="A14" s="21" t="str">
        <x:v>query_heads</x:v>
      </x:c>
      <x:c r="B14" s="21" t="str">
        <x:v>Query heads H_q</x:v>
      </x:c>
      <x:c r="C14" s="30" t="n">
        <x:v>64</x:v>
      </x:c>
      <x:c r="D14" s="21" t="str">
        <x:v>heads</x:v>
      </x:c>
      <x:c r="E14" s="21" t="str">
        <x:v>attention_moe.inputs.decode.query_heads</x:v>
      </x:c>
      <x:c r="F14" s="21" t="str">
        <x:v>D / d_h</x:v>
      </x:c>
    </x:row>
    <x:row r="15">
      <x:c r="A15" s="21" t="str">
        <x:v>kv_heads</x:v>
      </x:c>
      <x:c r="B15" s="21" t="str">
        <x:v>KV heads H_kv</x:v>
      </x:c>
      <x:c r="C15" s="30" t="n">
        <x:v>64</x:v>
      </x:c>
      <x:c r="D15" s="21" t="str">
        <x:v>heads</x:v>
      </x:c>
      <x:c r="E15" s="21" t="str">
        <x:v>attention_moe.inputs.decode.kv_heads</x:v>
      </x:c>
      <x:c r="F15" s="21" t="str">
        <x:v>No GQA in baseline</x:v>
      </x:c>
    </x:row>
    <x:row r="16">
      <x:c r="A16" s="21" t="str">
        <x:v>activation_bytes</x:v>
      </x:c>
      <x:c r="B16" s="21" t="str">
        <x:v>Activation bytes</x:v>
      </x:c>
      <x:c r="C16" s="30" t="n">
        <x:v>1</x:v>
      </x:c>
      <x:c r="D16" s="21" t="str">
        <x:v>B/element</x:v>
      </x:c>
      <x:c r="E16" s="21" t="str">
        <x:v>attention_moe.inputs.decode.activation_bytes</x:v>
      </x:c>
      <x:c r="F16" s="21" t="str">
        <x:v>HBM element width</x:v>
      </x:c>
    </x:row>
    <x:row r="17">
      <x:c r="A17" s="21" t="str">
        <x:v>weight_bytes</x:v>
      </x:c>
      <x:c r="B17" s="21" t="str">
        <x:v>Static-weight bytes</x:v>
      </x:c>
      <x:c r="C17" s="30" t="n">
        <x:v>1</x:v>
      </x:c>
      <x:c r="D17" s="21" t="str">
        <x:v>B/element</x:v>
      </x:c>
      <x:c r="E17" s="21" t="str">
        <x:v>attention_moe.inputs.decode.weight_bytes</x:v>
      </x:c>
      <x:c r="F17" s="21" t="str">
        <x:v>HBM element width</x:v>
      </x:c>
    </x:row>
    <x:row r="18">
      <x:c r="A18" s="21" t="str">
        <x:v>kv_bytes</x:v>
      </x:c>
      <x:c r="B18" s="21" t="str">
        <x:v>KV bytes</x:v>
      </x:c>
      <x:c r="C18" s="30" t="n">
        <x:v>1</x:v>
      </x:c>
      <x:c r="D18" s="21" t="str">
        <x:v>B/element</x:v>
      </x:c>
      <x:c r="E18" s="21" t="str">
        <x:v>attention_moe.inputs.decode.kv_bytes</x:v>
      </x:c>
      <x:c r="F18" s="21" t="str">
        <x:v>Cache element width</x:v>
      </x:c>
    </x:row>
    <x:row r="19">
      <x:c r="A19" s="21" t="str">
        <x:v>partial_bytes</x:v>
      </x:c>
      <x:c r="B19" s="21" t="str">
        <x:v>Partial-output bytes</x:v>
      </x:c>
      <x:c r="C19" s="30" t="n">
        <x:v>4</x:v>
      </x:c>
      <x:c r="D19" s="21" t="str">
        <x:v>B/element</x:v>
      </x:c>
      <x:c r="E19" s="21" t="str">
        <x:v>attention_moe.inputs.decode.partial_bytes</x:v>
      </x:c>
      <x:c r="F19" s="21" t="str">
        <x:v>Flash-Decode partial</x:v>
      </x:c>
    </x:row>
    <x:row r="20">
      <x:c r="A20" s="21" t="str">
        <x:v>lse_bytes</x:v>
      </x:c>
      <x:c r="B20" s="21" t="str">
        <x:v>LSE bytes</x:v>
      </x:c>
      <x:c r="C20" s="30" t="n">
        <x:v>4</x:v>
      </x:c>
      <x:c r="D20" s="21" t="str">
        <x:v>B/scalar</x:v>
      </x:c>
      <x:c r="E20" s="21" t="str">
        <x:v>attention_moe.inputs.decode.lse_bytes</x:v>
      </x:c>
      <x:c r="F20" s="21" t="str">
        <x:v>Flash-Decode LSE</x:v>
      </x:c>
    </x:row>
    <x:row r="21">
      <x:c r="A21" s="21" t="str">
        <x:v>decode_splits</x:v>
      </x:c>
      <x:c r="B21" s="21" t="str">
        <x:v>Decode KV splits G</x:v>
      </x:c>
      <x:c r="C21" s="30" t="n">
        <x:v>64</x:v>
      </x:c>
      <x:c r="D21" s="21" t="str">
        <x:v>splits</x:v>
      </x:c>
      <x:c r="E21" s="21" t="str">
        <x:v>attention_moe.inputs.decode.decode_splits</x:v>
      </x:c>
      <x:c r="F21" s="21" t="str">
        <x:v>ceil(K / split tokens)</x:v>
      </x:c>
    </x:row>
    <x:row r="22">
      <x:c r="A22" s="21" t="str">
        <x:v>kv_split_tokens</x:v>
      </x:c>
      <x:c r="B22" s="21" t="str">
        <x:v>Tokens per KV split</x:v>
      </x:c>
      <x:c r="C22" s="30" t="n">
        <x:v>2048</x:v>
      </x:c>
      <x:c r="D22" s="21" t="str">
        <x:v>tokens</x:v>
      </x:c>
      <x:c r="E22" s="21" t="str">
        <x:v>model_inputs.kv_split_tokens</x:v>
      </x:c>
      <x:c r="F22" s="21" t="str">
        <x:v>Sweep split rule</x:v>
      </x:c>
    </x:row>
    <x:row r="23">
      <x:c r="A23" s="21" t="str">
        <x:v>kv_reload_multiplier</x:v>
      </x:c>
      <x:c r="B23" s="21" t="str">
        <x:v>KV reload multiplier</x:v>
      </x:c>
      <x:c r="C23" s="30" t="n">
        <x:v>1</x:v>
      </x:c>
      <x:c r="D23" s="21" t="str">
        <x:v>x</x:v>
      </x:c>
      <x:c r="E23" s="21" t="str">
        <x:v>attention_moe.inputs.decode.kv_reload_multiplier</x:v>
      </x:c>
      <x:c r="F23" s="21" t="str">
        <x:v>Ideal lower bound = 1</x:v>
      </x:c>
    </x:row>
    <x:row r="24">
      <x:c r="A24" s="21" t="str">
        <x:v>softmax_flops_per_pair</x:v>
      </x:c>
      <x:c r="B24" s="21" t="str">
        <x:v>Softmax FLOPs/pair</x:v>
      </x:c>
      <x:c r="C24" s="30" t="n">
        <x:v>5</x:v>
      </x:c>
      <x:c r="D24" s="21" t="str">
        <x:v>FLOP/pair</x:v>
      </x:c>
      <x:c r="E24" s="21" t="str">
        <x:v>attention_moe.inputs.decode.softmax_flops_per_pair</x:v>
      </x:c>
      <x:c r="F24" s="21" t="str">
        <x:v>Explicit input</x:v>
      </x:c>
    </x:row>
    <x:row r="25">
      <x:c r="A25" s="21" t="str">
        <x:v>experts</x:v>
      </x:c>
      <x:c r="B25" s="21" t="str">
        <x:v>Experts E</x:v>
      </x:c>
      <x:c r="C25" s="30" t="n">
        <x:v>128</x:v>
      </x:c>
      <x:c r="D25" s="21" t="str">
        <x:v>experts</x:v>
      </x:c>
      <x:c r="E25" s="21" t="str">
        <x:v>model_inputs.experts</x:v>
      </x:c>
      <x:c r="F25" s="21" t="str">
        <x:v>MoE pool</x:v>
      </x:c>
    </x:row>
    <x:row r="26">
      <x:c r="A26" s="21" t="str">
        <x:v>top_k</x:v>
      </x:c>
      <x:c r="B26" s="21" t="str">
        <x:v>Top-k r</x:v>
      </x:c>
      <x:c r="C26" s="30" t="n">
        <x:v>1</x:v>
      </x:c>
      <x:c r="D26" s="21" t="str">
        <x:v>experts/token</x:v>
      </x:c>
      <x:c r="E26" s="21" t="str">
        <x:v>model_inputs.top_k</x:v>
      </x:c>
      <x:c r="F26" s="21" t="str">
        <x:v>Routing multiplicity</x:v>
      </x:c>
    </x:row>
    <x:row r="27">
      <x:c r="A27" s="21" t="str">
        <x:v>expert_hidden_dim</x:v>
      </x:c>
      <x:c r="B27" s="21" t="str">
        <x:v>Expert hidden F</x:v>
      </x:c>
      <x:c r="C27" s="30" t="n">
        <x:v>16384</x:v>
      </x:c>
      <x:c r="D27" s="21" t="str">
        <x:v>elements</x:v>
      </x:c>
      <x:c r="E27" s="21" t="str">
        <x:v>model_inputs.expert_hidden_dim</x:v>
      </x:c>
      <x:c r="F27" s="21" t="str">
        <x:v>SwiGLU width</x:v>
      </x:c>
    </x:row>
    <x:row r="28">
      <x:c r="A28" s="21" t="str">
        <x:v>expert_matrices</x:v>
      </x:c>
      <x:c r="B28" s="21" t="str">
        <x:v>Expert matrices</x:v>
      </x:c>
      <x:c r="C28" s="30" t="n">
        <x:v>3</x:v>
      </x:c>
      <x:c r="D28" s="21" t="str">
        <x:v>matrices</x:v>
      </x:c>
      <x:c r="E28" s="21" t="str">
        <x:v>attention_moe.inputs.decode.expert_matrices</x:v>
      </x:c>
      <x:c r="F28" s="21" t="str">
        <x:v>3 = SwiGLU</x:v>
      </x:c>
    </x:row>
    <x:row r="29">
      <x:c r="A29" s="21" t="str">
        <x:v>router_flops_per_token_expert</x:v>
      </x:c>
      <x:c r="B29" s="21" t="str">
        <x:v>Router selection cost</x:v>
      </x:c>
      <x:c r="C29" s="30" t="n">
        <x:v>1</x:v>
      </x:c>
      <x:c r="D29" s="21" t="str">
        <x:v>FLOP/token/expert</x:v>
      </x:c>
      <x:c r="E29" s="21" t="str">
        <x:v>attention_moe.inputs.decode.router_flops_per_token_expert</x:v>
      </x:c>
      <x:c r="F29" s="21" t="str">
        <x:v>Beyond router GEMM</x:v>
      </x:c>
    </x:row>
    <x:row r="30">
      <x:c r="A30" s="21" t="str">
        <x:v>routing_metadata_bytes</x:v>
      </x:c>
      <x:c r="B30" s="21" t="str">
        <x:v>Routing metadata</x:v>
      </x:c>
      <x:c r="C30" s="30" t="n">
        <x:v>8</x:v>
      </x:c>
      <x:c r="D30" s="21" t="str">
        <x:v>B/route</x:v>
      </x:c>
      <x:c r="E30" s="21" t="str">
        <x:v>model.py: routing_metadata_bytes</x:v>
      </x:c>
      <x:c r="F30" s="21" t="str">
        <x:v>Visible engine convention</x:v>
      </x:c>
    </x:row>
    <x:row r="31">
      <x:c r="A31" s="21" t="str">
        <x:v>active_unique_experts</x:v>
      </x:c>
      <x:c r="B31" s="21" t="str">
        <x:v>Active-expert override</x:v>
      </x:c>
      <x:c r="C31" s="30" t="n">
        <x:v>0</x:v>
      </x:c>
      <x:c r="D31" s="21" t="str">
        <x:v>experts</x:v>
      </x:c>
      <x:c r="E31" s="21" t="str">
        <x:v>attention_moe.inputs.decode.active_unique_experts</x:v>
      </x:c>
      <x:c r="F31" s="21" t="str">
        <x:v>0 = uniform expectation</x:v>
      </x:c>
    </x:row>
    <x:row r="32">
      <x:c r="A32" s="21" t="str">
        <x:v>expert_hbm_fraction</x:v>
      </x:c>
      <x:c r="B32" s="21" t="str">
        <x:v>Expert HBM fraction</x:v>
      </x:c>
      <x:c r="C32" s="30" t="n">
        <x:v>1</x:v>
      </x:c>
      <x:c r="D32" s="21" t="str">
        <x:v>fraction</x:v>
      </x:c>
      <x:c r="E32" s="21" t="str">
        <x:v>attention_moe.inputs.decode.expert_hbm_fraction</x:v>
      </x:c>
      <x:c r="F32" s="21" t="str">
        <x:v>Residency sensitivity</x:v>
      </x:c>
    </x:row>
    <x:row r="33">
      <x:c r="A33" s="21" t="str">
        <x:v>compute_efficiency</x:v>
      </x:c>
      <x:c r="B33" s="21" t="str">
        <x:v>Compute efficiency</x:v>
      </x:c>
      <x:c r="C33" s="30" t="n">
        <x:v>1</x:v>
      </x:c>
      <x:c r="D33" s="21" t="str">
        <x:v>fraction</x:v>
      </x:c>
      <x:c r="E33" s="21" t="str">
        <x:v>attention_moe.inputs.decode.compute_efficiency</x:v>
      </x:c>
      <x:c r="F33" s="21" t="str">
        <x:v>Stage default</x:v>
      </x:c>
    </x:row>
    <x:row r="34">
      <x:c r="A34" s="21" t="str">
        <x:v>bandwidth_efficiency</x:v>
      </x:c>
      <x:c r="B34" s="21" t="str">
        <x:v>Bandwidth efficiency</x:v>
      </x:c>
      <x:c r="C34" s="30" t="n">
        <x:v>1</x:v>
      </x:c>
      <x:c r="D34" s="21" t="str">
        <x:v>fraction</x:v>
      </x:c>
      <x:c r="E34" s="21" t="str">
        <x:v>attention_moe.inputs.decode.bandwidth_efficiency</x:v>
      </x:c>
      <x:c r="F34" s="21" t="str">
        <x:v>Stage default</x:v>
      </x:c>
    </x:row>
    <x:row r="35">
      <x:c r="A35" s="21" t="str">
        <x:v>expert_activation_flops</x:v>
      </x:c>
      <x:c r="B35" s="21" t="str">
        <x:v>Expert activation FLOPs</x:v>
      </x:c>
      <x:c r="C35" s="30" t="n">
        <x:v>4</x:v>
      </x:c>
      <x:c r="D35" s="21" t="str">
        <x:v>FLOP/element</x:v>
      </x:c>
      <x:c r="E35" s="21" t="str">
        <x:v>model_inputs.expert_activation_flops_per_element</x:v>
      </x:c>
      <x:c r="F35" s="21" t="str">
        <x:v>SwiGLU elementwise</x:v>
      </x:c>
    </x:row>
    <x:row r="36">
      <x:c r="A36" s="21" t="str">
        <x:v>fuse_expert_intermediates</x:v>
      </x:c>
      <x:c r="B36" s="21" t="str">
        <x:v>Fuse expert intermediates</x:v>
      </x:c>
      <x:c r="C36" s="30" t="n">
        <x:v>0</x:v>
      </x:c>
      <x:c r="D36" s="21" t="str">
        <x:v>0/1</x:v>
      </x:c>
      <x:c r="E36" s="21" t="str">
        <x:v>model_inputs.fuse_expert_intermediates</x:v>
      </x:c>
      <x:c r="F36" s="21" t="str">
        <x:v>1 removes internal HBM traffic</x:v>
      </x:c>
    </x:row>
    <x:row r="37">
      <x:c r="A37" s="21" t="str">
        <x:v>state_bytes</x:v>
      </x:c>
      <x:c r="B37" s="21" t="str">
        <x:v>Mutable-state bytes</x:v>
      </x:c>
      <x:c r="C37" s="30" t="n">
        <x:v>1</x:v>
      </x:c>
      <x:c r="D37" s="21" t="str">
        <x:v>B/element</x:v>
      </x:c>
      <x:c r="E37" s="21" t="str">
        <x:v>hope_scenarios.shipped_credible_momentum.inputs.decode.state_bytes</x:v>
      </x:c>
      <x:c r="F37" s="21" t="str">
        <x:v>Fast weights</x:v>
      </x:c>
    </x:row>
    <x:row r="38">
      <x:c r="A38" s="21" t="str">
        <x:v>optimizer_bytes</x:v>
      </x:c>
      <x:c r="B38" s="21" t="str">
        <x:v>Optimizer bytes</x:v>
      </x:c>
      <x:c r="C38" s="30" t="n">
        <x:v>4</x:v>
      </x:c>
      <x:c r="D38" s="21" t="str">
        <x:v>B/element</x:v>
      </x:c>
      <x:c r="E38" s="21" t="str">
        <x:v>hope_scenarios.shipped_credible_momentum.inputs.decode.optimizer_bytes</x:v>
      </x:c>
      <x:c r="F38" s="21" t="str">
        <x:v>Gradient/slot width</x:v>
      </x:c>
    </x:row>
    <x:row r="39">
      <x:c r="A39" s="21" t="str">
        <x:v>sigma_flops</x:v>
      </x:c>
      <x:c r="B39" s="21" t="str">
        <x:v>Sigma FLOPs/hidden</x:v>
      </x:c>
      <x:c r="C39" s="30" t="n">
        <x:v>4</x:v>
      </x:c>
      <x:c r="D39" s="21" t="str">
        <x:v>FLOP/hidden</x:v>
      </x:c>
      <x:c r="E39" s="21" t="str">
        <x:v>hope_scenarios.shipped_credible_momentum.inputs.decode.sigma_flops_per_hidden</x:v>
      </x:c>
      <x:c r="F39" s="21" t="str">
        <x:v>Shipped-credible scenario</x:v>
      </x:c>
    </x:row>
    <x:row r="40">
      <x:c r="A40" s="21" t="str">
        <x:v>residual_flops</x:v>
      </x:c>
      <x:c r="B40" s="21" t="str">
        <x:v>Residual FLOPs/output</x:v>
      </x:c>
      <x:c r="C40" s="30" t="n">
        <x:v>1</x:v>
      </x:c>
      <x:c r="D40" s="21" t="str">
        <x:v>FLOP/output</x:v>
      </x:c>
      <x:c r="E40" s="21" t="str">
        <x:v>hope_scenarios.shipped_credible_momentum.inputs.decode.residual_flops_per_output</x:v>
      </x:c>
      <x:c r="F40" s="21" t="str">
        <x:v>Shipped-credible scenario</x:v>
      </x:c>
    </x:row>
    <x:row r="41">
      <x:c r="A41" s="21" t="str">
        <x:v>chunk_cache_bytes</x:v>
      </x:c>
      <x:c r="B41" s="21" t="str">
        <x:v>Chunk cache/request</x:v>
      </x:c>
      <x:c r="C41" s="30" t="n">
        <x:v>0</x:v>
      </x:c>
      <x:c r="D41" s="21" t="str">
        <x:v>B/request</x:v>
      </x:c>
      <x:c r="E41" s="21" t="str">
        <x:v>hope_scenarios.shipped_credible_momentum.inputs.decode.chunk_cache_bytes_per_request</x:v>
      </x:c>
      <x:c r="F41" s="21" t="str">
        <x:v>Persistent request cache</x:v>
      </x:c>
    </x:row>
    <x:row r="42">
      <x:c r="A42" s="21" t="str">
        <x:v>prefill_position</x:v>
      </x:c>
      <x:c r="B42" s="21" t="str">
        <x:v>Prefill position p</x:v>
      </x:c>
      <x:c r="C42" s="30" t="n">
        <x:v>0</x:v>
      </x:c>
      <x:c r="D42" s="21" t="str">
        <x:v>tokens</x:v>
      </x:c>
      <x:c r="E42" s="21" t="str">
        <x:v>hope_scenarios.shipped_credible_momentum.inputs.prefill.position</x:v>
      </x:c>
      <x:c r="F42" s="21" t="str">
        <x:v>Imported boundary-count origin</x:v>
      </x:c>
    </x:row>
    <x:row r="43">
      <x:c r="A43" s="21" t="str">
        <x:v>decode_position</x:v>
      </x:c>
      <x:c r="B43" s="21" t="str">
        <x:v>Decode position p</x:v>
      </x:c>
      <x:c r="C43" s="30" t="n">
        <x:v>0</x:v>
      </x:c>
      <x:c r="D43" s="21" t="str">
        <x:v>tokens</x:v>
      </x:c>
      <x:c r="E43" s="21" t="str">
        <x:v>hope_scenarios.shipped_credible_momentum.inputs.decode.position</x:v>
      </x:c>
      <x:c r="F43" s="21" t="str">
        <x:v>Imported timing origin; timing modes remain explicit</x:v>
      </x:c>
    </x:row>
    <x:row r="44">
      <x:c r="A44" s="21" t="str">
        <x:v>main_memory_chunk</x:v>
      </x:c>
      <x:c r="B44" s="21" t="str">
        <x:v>Main-memory chunk</x:v>
      </x:c>
      <x:c r="C44" s="30" t="n">
        <x:v>2048</x:v>
      </x:c>
      <x:c r="D44" s="21" t="str">
        <x:v>tokens</x:v>
      </x:c>
      <x:c r="E44" s="21" t="str">
        <x:v>model_inputs.main_memory_chunk</x:v>
      </x:c>
      <x:c r="F44" s="21" t="str">
        <x:v>M_mem period</x:v>
      </x:c>
    </x:row>
    <x:row r="45">
      <x:c r="A45" s="22" t="str">
        <x:v>aux_memory_chunk</x:v>
      </x:c>
      <x:c r="B45" s="22" t="str">
        <x:v>Aux-memory chunk</x:v>
      </x:c>
      <x:c r="C45" s="31" t="n">
        <x:v>2048</x:v>
      </x:c>
      <x:c r="D45" s="22" t="str">
        <x:v>tokens</x:v>
      </x:c>
      <x:c r="E45" s="22" t="str">
        <x:v>model_inputs.aux_memory_chunk</x:v>
      </x:c>
      <x:c r="F45" s="22" t="str">
        <x:v>M_k/v/eta/alpha period</x:v>
      </x:c>
    </x:row>
    <x:row r="47">
      <x:c r="A47" s="39" t="str">
        <x:v>Memory</x:v>
      </x:c>
      <x:c r="B47" s="40" t="str">
        <x:v>Input dim I</x:v>
      </x:c>
      <x:c r="C47" s="40" t="str">
        <x:v>Hidden H</x:v>
      </x:c>
      <x:c r="D47" s="40" t="str">
        <x:v>Output O</x:v>
      </x:c>
      <x:c r="E47" s="40" t="str">
        <x:v>Update chunk</x:v>
      </x:c>
      <x:c r="F47" s="40" t="str">
        <x:v>Momentum slots</x:v>
      </x:c>
      <x:c r="G47" s="40" t="str">
        <x:v>Update multiplier μ</x:v>
      </x:c>
      <x:c r="H47" s="41" t="str">
        <x:v>State read count</x:v>
      </x:c>
    </x:row>
    <x:row r="48">
      <x:c r="A48" s="20" t="str">
        <x:v>M_k</x:v>
      </x:c>
      <x:c r="B48" s="20" t="n">
        <x:v>8192</x:v>
      </x:c>
      <x:c r="C48" s="20" t="n">
        <x:v>8192</x:v>
      </x:c>
      <x:c r="D48" s="20" t="n">
        <x:v>8192</x:v>
      </x:c>
      <x:c r="E48" s="20" t="n">
        <x:v>2048</x:v>
      </x:c>
      <x:c r="F48" s="20" t="n">
        <x:v>1</x:v>
      </x:c>
      <x:c r="G48" s="20" t="n">
        <x:v>4</x:v>
      </x:c>
      <x:c r="H48" s="20" t="n">
        <x:v>1</x:v>
      </x:c>
    </x:row>
    <x:row r="49">
      <x:c r="A49" s="21" t="str">
        <x:v>M_v</x:v>
      </x:c>
      <x:c r="B49" s="21" t="n">
        <x:v>8192</x:v>
      </x:c>
      <x:c r="C49" s="21" t="n">
        <x:v>8192</x:v>
      </x:c>
      <x:c r="D49" s="21" t="n">
        <x:v>8192</x:v>
      </x:c>
      <x:c r="E49" s="21" t="n">
        <x:v>2048</x:v>
      </x:c>
      <x:c r="F49" s="21" t="n">
        <x:v>1</x:v>
      </x:c>
      <x:c r="G49" s="21" t="n">
        <x:v>4</x:v>
      </x:c>
      <x:c r="H49" s="21" t="n">
        <x:v>1</x:v>
      </x:c>
    </x:row>
    <x:row r="50">
      <x:c r="A50" s="21" t="str">
        <x:v>M_eta</x:v>
      </x:c>
      <x:c r="B50" s="21" t="n">
        <x:v>8192</x:v>
      </x:c>
      <x:c r="C50" s="21" t="n">
        <x:v>8192</x:v>
      </x:c>
      <x:c r="D50" s="21" t="n">
        <x:v>1</x:v>
      </x:c>
      <x:c r="E50" s="21" t="n">
        <x:v>2048</x:v>
      </x:c>
      <x:c r="F50" s="21" t="n">
        <x:v>1</x:v>
      </x:c>
      <x:c r="G50" s="21" t="n">
        <x:v>4</x:v>
      </x:c>
      <x:c r="H50" s="21" t="n">
        <x:v>1</x:v>
      </x:c>
    </x:row>
    <x:row r="51">
      <x:c r="A51" s="21" t="str">
        <x:v>M_alpha</x:v>
      </x:c>
      <x:c r="B51" s="21" t="n">
        <x:v>8192</x:v>
      </x:c>
      <x:c r="C51" s="21" t="n">
        <x:v>8192</x:v>
      </x:c>
      <x:c r="D51" s="21" t="n">
        <x:v>1</x:v>
      </x:c>
      <x:c r="E51" s="21" t="n">
        <x:v>2048</x:v>
      </x:c>
      <x:c r="F51" s="21" t="n">
        <x:v>1</x:v>
      </x:c>
      <x:c r="G51" s="21" t="n">
        <x:v>4</x:v>
      </x:c>
      <x:c r="H51" s="21" t="n">
        <x:v>1</x:v>
      </x:c>
    </x:row>
    <x:row r="52">
      <x:c r="A52" s="22" t="str">
        <x:v>M_mem</x:v>
      </x:c>
      <x:c r="B52" s="22" t="n">
        <x:v>8192</x:v>
      </x:c>
      <x:c r="C52" s="22" t="n">
        <x:v>8192</x:v>
      </x:c>
      <x:c r="D52" s="22" t="n">
        <x:v>8192</x:v>
      </x:c>
      <x:c r="E52" s="22" t="n">
        <x:v>2048</x:v>
      </x:c>
      <x:c r="F52" s="22" t="n">
        <x:v>1</x:v>
      </x:c>
      <x:c r="G52" s="22" t="n">
        <x:v>4</x:v>
      </x:c>
      <x:c r="H52" s="22" t="n">
        <x:v>1</x:v>
      </x:c>
    </x:row>
    <x:row r="56">
      <x:c r="A56" s="39" t="str">
        <x:v>CMS level</x:v>
      </x:c>
      <x:c r="B56" s="40" t="str">
        <x:v>Input dim I</x:v>
      </x:c>
      <x:c r="C56" s="40" t="str">
        <x:v>Output O</x:v>
      </x:c>
      <x:c r="D56" s="40" t="str">
        <x:v>Capacity C</x:v>
      </x:c>
      <x:c r="E56" s="40" t="str">
        <x:v>Low-rank R</x:v>
      </x:c>
      <x:c r="F56" s="40" t="str">
        <x:v>Top-k</x:v>
      </x:c>
      <x:c r="G56" s="40" t="str">
        <x:v>Router FLOPs/token/expert</x:v>
      </x:c>
      <x:c r="H56" s="40" t="str">
        <x:v>Update period</x:v>
      </x:c>
      <x:c r="I56" s="40" t="str">
        <x:v>BPTT span</x:v>
      </x:c>
      <x:c r="J56" s="40" t="str">
        <x:v>Optimizer slots</x:v>
      </x:c>
      <x:c r="K56" s="40" t="str">
        <x:v>Personalized (0/1)</x:v>
      </x:c>
      <x:c r="L56" s="40" t="str">
        <x:v>Gradient multiplier</x:v>
      </x:c>
      <x:c r="M56" s="41" t="str">
        <x:v>Routing metadata B</x:v>
      </x:c>
    </x:row>
    <x:row r="57">
      <x:c r="A57" s="20" t="str">
        <x:v>cms_l1</x:v>
      </x:c>
      <x:c r="B57" s="20" t="n">
        <x:v>8192</x:v>
      </x:c>
      <x:c r="C57" s="20" t="n">
        <x:v>8192</x:v>
      </x:c>
      <x:c r="D57" s="20" t="n">
        <x:v>64</x:v>
      </x:c>
      <x:c r="E57" s="20" t="n">
        <x:v>64</x:v>
      </x:c>
      <x:c r="F57" s="20" t="n">
        <x:v>1</x:v>
      </x:c>
      <x:c r="G57" s="20" t="n">
        <x:v>1</x:v>
      </x:c>
      <x:c r="H57" s="20" t="n">
        <x:v>1000</x:v>
      </x:c>
      <x:c r="I57" s="20" t="n">
        <x:v>4</x:v>
      </x:c>
      <x:c r="J57" s="20" t="n">
        <x:v>0</x:v>
      </x:c>
      <x:c r="K57" s="20" t="n">
        <x:v>1</x:v>
      </x:c>
      <x:c r="L57" s="20" t="n">
        <x:v>1</x:v>
      </x:c>
      <x:c r="M57" s="20" t="n">
        <x:v>8</x:v>
      </x:c>
    </x:row>
    <x:row r="58">
      <x:c r="A58" s="21" t="str">
        <x:v>cms_l2</x:v>
      </x:c>
      <x:c r="B58" s="21" t="n">
        <x:v>8192</x:v>
      </x:c>
      <x:c r="C58" s="21" t="n">
        <x:v>8192</x:v>
      </x:c>
      <x:c r="D58" s="21" t="n">
        <x:v>128</x:v>
      </x:c>
      <x:c r="E58" s="21" t="n">
        <x:v>64</x:v>
      </x:c>
      <x:c r="F58" s="21" t="n">
        <x:v>1</x:v>
      </x:c>
      <x:c r="G58" s="21" t="n">
        <x:v>1</x:v>
      </x:c>
      <x:c r="H58" s="21" t="n">
        <x:v>5000</x:v>
      </x:c>
      <x:c r="I58" s="21" t="n">
        <x:v>4</x:v>
      </x:c>
      <x:c r="J58" s="21" t="n">
        <x:v>0</x:v>
      </x:c>
      <x:c r="K58" s="21" t="n">
        <x:v>1</x:v>
      </x:c>
      <x:c r="L58" s="21" t="n">
        <x:v>1</x:v>
      </x:c>
      <x:c r="M58" s="21" t="n">
        <x:v>8</x:v>
      </x:c>
    </x:row>
    <x:row r="59">
      <x:c r="A59" s="22" t="str">
        <x:v>cms_l3</x:v>
      </x:c>
      <x:c r="B59" s="22" t="n">
        <x:v>8192</x:v>
      </x:c>
      <x:c r="C59" s="22" t="n">
        <x:v>8192</x:v>
      </x:c>
      <x:c r="D59" s="22" t="n">
        <x:v>256</x:v>
      </x:c>
      <x:c r="E59" s="22" t="n">
        <x:v>64</x:v>
      </x:c>
      <x:c r="F59" s="22" t="n">
        <x:v>1</x:v>
      </x:c>
      <x:c r="G59" s="22" t="n">
        <x:v>1</x:v>
      </x:c>
      <x:c r="H59" s="22" t="n">
        <x:v>10000</x:v>
      </x:c>
      <x:c r="I59" s="22" t="n">
        <x:v>4</x:v>
      </x:c>
      <x:c r="J59" s="22" t="n">
        <x:v>0</x:v>
      </x:c>
      <x:c r="K59" s="22" t="n">
        <x:v>1</x:v>
      </x:c>
      <x:c r="L59" s="22" t="n">
        <x:v>1</x:v>
      </x:c>
      <x:c r="M59" s="22" t="n">
        <x:v>8</x:v>
      </x:c>
    </x:row>
    <x:row r="63">
      <x:c r="A63" s="50" t="str">
        <x:v>Sweep</x:v>
      </x:c>
      <x:c r="B63" s="51" t="n">
        <x:v>1024</x:v>
      </x:c>
      <x:c r="C63" s="51" t="n">
        <x:v>4096</x:v>
      </x:c>
      <x:c r="D63" s="51" t="n">
        <x:v>16384</x:v>
      </x:c>
      <x:c r="E63" s="51" t="n">
        <x:v>65536</x:v>
      </x:c>
      <x:c r="F63" s="51" t="n">
        <x:v>131072</x:v>
      </x:c>
      <x:c r="G63" s="52" t="n">
        <x:v>262144</x:v>
      </x:c>
    </x:row>
    <x:row r="64">
      <x:c r="A64" s="20" t="str">
        <x:v>Context tokens</x:v>
      </x:c>
      <x:c r="B64" s="20" t="n">
        <x:v>1024</x:v>
      </x:c>
      <x:c r="C64" s="20" t="n">
        <x:v>4096</x:v>
      </x:c>
      <x:c r="D64" s="20" t="n">
        <x:v>16384</x:v>
      </x:c>
      <x:c r="E64" s="20" t="n">
        <x:v>65536</x:v>
      </x:c>
      <x:c r="F64" s="20" t="n">
        <x:v>131072</x:v>
      </x:c>
      <x:c r="G64" s="20" t="n">
        <x:v>262144</x:v>
      </x:c>
    </x:row>
    <x:row r="65">
      <x:c r="A65" s="22" t="str">
        <x:v>Batch</x:v>
      </x:c>
      <x:c r="B65" s="22" t="n">
        <x:v>1</x:v>
      </x:c>
      <x:c r="C65" s="22" t="n">
        <x:v>2</x:v>
      </x:c>
      <x:c r="D65" s="22" t="n">
        <x:v>4</x:v>
      </x:c>
      <x:c r="E65" s="22" t="n">
        <x:v>8</x:v>
      </x:c>
      <x:c r="F65" s="22" t="n">
        <x:v>16</x:v>
      </x:c>
      <x:c r="G65" s="22" t="n">
        <x:v>32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42" hidden="0" customWidth="1"/>
    <x:col min="4" max="4" width="16" hidden="0" customWidth="1"/>
    <x:col min="5" max="5" width="44" hidden="0" customWidth="1"/>
    <x:col min="6" max="6" width="44" hidden="0" customWidth="1"/>
  </x:cols>
  <x:sheetData>
    <x:row r="1" ht="28" customHeight="1">
      <x:c r="A1" s="3" t="str">
        <x:v>02 · Hardware anchor</x:v>
      </x:c>
      <x:c r="B1" s="3"/>
      <x:c r="C1" s="3"/>
      <x:c r="D1" s="3"/>
      <x:c r="E1" s="3"/>
      <x:c r="F1" s="3"/>
    </x:row>
    <x:row r="2" ht="28" customHeight="1">
      <x:c r="A2" s="7" t="str">
        <x:v>User-reviewed live-Sheet peak/BW authority plus repository-twin HBM capacity. Calculation sheets reference these cells; no hardware constants are embedded in formulas.</x:v>
      </x:c>
      <x:c r="B2" s="7"/>
      <x:c r="C2" s="7"/>
      <x:c r="D2" s="7"/>
      <x:c r="E2" s="7"/>
      <x:c r="F2" s="7"/>
    </x:row>
    <x:row r="4">
      <x:c r="A4" s="14" t="str">
        <x:v>Key</x:v>
      </x:c>
      <x:c r="B4" s="28" t="str">
        <x:v>Hardware/input</x:v>
      </x:c>
      <x:c r="C4" s="28" t="str">
        <x:v>Value</x:v>
      </x:c>
      <x:c r="D4" s="28" t="str">
        <x:v>Unit</x:v>
      </x:c>
      <x:c r="E4" s="28" t="str">
        <x:v>Engine path</x:v>
      </x:c>
      <x:c r="F4" s="15" t="str">
        <x:v>Evidence</x:v>
      </x:c>
    </x:row>
    <x:row r="5">
      <x:c r="A5" s="20" t="str">
        <x:v>name</x:v>
      </x:c>
      <x:c r="B5" s="20" t="str">
        <x:v>Hardware</x:v>
      </x:c>
      <x:c r="C5" s="53" t="str">
        <x:v>User-reviewed analytical reference (HBM capacity from repository H100 twin)</x:v>
      </x:c>
      <x:c r="D5" s="20" t="str">
        <x:v>text</x:v>
      </x:c>
      <x:c r="E5" s="20" t="str">
        <x:v>hardware.name</x:v>
      </x:c>
      <x:c r="F5" s="20" t="str">
        <x:v>Mixed authority is explicit</x:v>
      </x:c>
    </x:row>
    <x:row r="6">
      <x:c r="A6" s="21" t="str">
        <x:v>peak_flops</x:v>
      </x:c>
      <x:c r="B6" s="21" t="str">
        <x:v>Peak compute</x:v>
      </x:c>
      <x:c r="C6" s="54" t="n">
        <x:v>4614000000000000</x:v>
      </x:c>
      <x:c r="D6" s="21" t="str">
        <x:v>FLOP/s</x:v>
      </x:c>
      <x:c r="E6" s="21" t="str">
        <x:v>hardware.peak_flops_per_second</x:v>
      </x:c>
      <x:c r="F6" s="21" t="str">
        <x:v>User-reviewed live-Sheet analytical input</x:v>
      </x:c>
    </x:row>
    <x:row r="7">
      <x:c r="A7" s="21" t="str">
        <x:v>hbm_bandwidth</x:v>
      </x:c>
      <x:c r="B7" s="21" t="str">
        <x:v>HBM bandwidth</x:v>
      </x:c>
      <x:c r="C7" s="54" t="n">
        <x:v>7400000000000</x:v>
      </x:c>
      <x:c r="D7" s="21" t="str">
        <x:v>B/s</x:v>
      </x:c>
      <x:c r="E7" s="21" t="str">
        <x:v>hardware.hbm_bandwidth_bytes_per_second</x:v>
      </x:c>
      <x:c r="F7" s="21" t="str">
        <x:v>User-reviewed live-Sheet analytical input</x:v>
      </x:c>
    </x:row>
    <x:row r="8">
      <x:c r="A8" s="21" t="str">
        <x:v>hbm_capacity</x:v>
      </x:c>
      <x:c r="B8" s="21" t="str">
        <x:v>HBM capacity</x:v>
      </x:c>
      <x:c r="C8" s="54" t="n">
        <x:v>85899345920</x:v>
      </x:c>
      <x:c r="D8" s="21" t="str">
        <x:v>B</x:v>
      </x:c>
      <x:c r="E8" s="21" t="str">
        <x:v>hardware.hbm_capacity_bytes</x:v>
      </x:c>
      <x:c r="F8" s="21" t="str">
        <x:v>Repository H100 twin capacity only</x:v>
      </x:c>
    </x:row>
    <x:row r="9">
      <x:c r="A9" s="21" t="str">
        <x:v>launch_seconds</x:v>
      </x:c>
      <x:c r="B9" s="21" t="str">
        <x:v>Kernel launch overhead</x:v>
      </x:c>
      <x:c r="C9" s="54" t="n">
        <x:v>0</x:v>
      </x:c>
      <x:c r="D9" s="21" t="str">
        <x:v>s/execution</x:v>
      </x:c>
      <x:c r="E9" s="21" t="str">
        <x:v>hardware.kernel_launch_overhead_seconds</x:v>
      </x:c>
      <x:c r="F9" s="21" t="str">
        <x:v>Zero: twin publishes no constant</x:v>
      </x:c>
    </x:row>
    <x:row r="10">
      <x:c r="A10" s="21" t="str">
        <x:v>ms_per_second</x:v>
      </x:c>
      <x:c r="B10" s="21" t="str">
        <x:v>Milliseconds per second</x:v>
      </x:c>
      <x:c r="C10" s="54" t="n">
        <x:v>1000</x:v>
      </x:c>
      <x:c r="D10" s="21" t="str">
        <x:v>ms/s</x:v>
      </x:c>
      <x:c r="E10" s="21" t="str">
        <x:v>unit conversion</x:v>
      </x:c>
      <x:c r="F10" s="21" t="str">
        <x:v>Visible unit conversion</x:v>
      </x:c>
    </x:row>
    <x:row r="11">
      <x:c r="A11" s="21" t="str">
        <x:v>bytes_per_gib</x:v>
      </x:c>
      <x:c r="B11" s="21" t="str">
        <x:v>Bytes per GiB</x:v>
      </x:c>
      <x:c r="C11" s="54" t="n">
        <x:v>1073741824</x:v>
      </x:c>
      <x:c r="D11" s="21" t="str">
        <x:v>B/GiB</x:v>
      </x:c>
      <x:c r="E11" s="21" t="str">
        <x:v>unit conversion</x:v>
      </x:c>
      <x:c r="F11" s="21" t="str">
        <x:v>2^30</x:v>
      </x:c>
    </x:row>
    <x:row r="12">
      <x:c r="A12" s="22" t="str">
        <x:v>flops_per_tflop</x:v>
      </x:c>
      <x:c r="B12" s="22" t="str">
        <x:v>FLOPs per TFLOP</x:v>
      </x:c>
      <x:c r="C12" s="55" t="n">
        <x:v>1000000000000</x:v>
      </x:c>
      <x:c r="D12" s="22" t="str">
        <x:v>FLOP/TFLOP</x:v>
      </x:c>
      <x:c r="E12" s="22" t="str">
        <x:v>unit conversion</x:v>
      </x:c>
      <x:c r="F12" s="22" t="str">
        <x:v>10^12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27" hidden="0" customWidth="1"/>
    <x:col min="5" max="5" width="31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18" hidden="0" customWidth="1"/>
    <x:col min="14" max="14" width="12" hidden="0" customWidth="1"/>
    <x:col min="15" max="15" width="13" hidden="0" customWidth="1"/>
    <x:col min="16" max="16" width="13" hidden="0" customWidth="1"/>
    <x:col min="17" max="17" width="13" hidden="0" customWidth="1"/>
    <x:col min="18" max="18" width="12" hidden="0" customWidth="1"/>
    <x:col min="19" max="19" width="42" hidden="0" customWidth="1"/>
  </x:cols>
  <x:sheetData>
    <x:row r="1" ht="28" customHeight="1">
      <x:c r="A1" s="3" t="str">
        <x:v>10 · Attention + MoE prefill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58" t="str">
        <x:v>Total FLOPs</x:v>
      </x:c>
      <x:c r="B2" s="59" t="str">
        <x:v>HBM read B</x:v>
      </x:c>
      <x:c r="C2" s="59" t="str">
        <x:v>HBM write B</x:v>
      </x:c>
      <x:c r="D2" s="59" t="str">
        <x:v>HBM total B</x:v>
      </x:c>
      <x:c r="E2" s="59" t="str">
        <x:v>Persistent state B</x:v>
      </x:c>
      <x:c r="F2" s="59" t="str">
        <x:v>AI FLOP/B</x:v>
      </x:c>
      <x:c r="G2" s="59" t="str">
        <x:v>Aggregate compute ms</x:v>
      </x:c>
      <x:c r="H2" s="59" t="str">
        <x:v>Aggregate HBM ms</x:v>
      </x:c>
      <x:c r="I2" s="59" t="str">
        <x:v>Aggregate latency ms</x:v>
      </x:c>
      <x:c r="J2" s="59" t="str">
        <x:v>Stagewise latency ms</x:v>
      </x:c>
      <x:c r="K2" s="59" t="str">
        <x:v>Bound</x:v>
      </x:c>
      <x:c r="L2" s="59" t="str">
        <x:v>HBM fit</x:v>
      </x:c>
      <x:c r="M2" s="59" t="str">
        <x:v>Ridge AI</x:v>
      </x:c>
      <x:c r="N2" s="60" t="str">
        <x:v>Ridge class</x:v>
      </x:c>
      <x:c r="O2" s="71"/>
      <x:c r="P2" s="71"/>
      <x:c r="Q2" s="71"/>
      <x:c r="R2" s="71"/>
      <x:c r="S2" s="71"/>
    </x:row>
    <x:row r="3">
      <x:c r="A3" s="63" t="n">
        <x:f>SUM(G6:G17)</x:f>
        <x:v>14733800617541632</x:v>
      </x:c>
      <x:c r="B3" s="63" t="n">
        <x:f>SUM(K6:K17)</x:f>
        <x:v>601598459904</x:v>
      </x:c>
      <x:c r="C3" s="63" t="n">
        <x:f>SUM(L6:L17)</x:f>
        <x:v>481069891584</x:v>
      </x:c>
      <x:c r="D3" s="63" t="n">
        <x:f>SUM(K6:L17)</x:f>
        <x:v>1082668351488</x:v>
      </x:c>
      <x:c r="E3" s="63" t="n">
        <x:f>SUM(M6:M17)</x:f>
        <x:v>68719476736</x:v>
      </x:c>
      <x:c r="F3" s="64" t="n">
        <x:f>IF(SUM(K6:L17)=0,"",SUM(G6:G17)/SUM(K6:L17))</x:f>
        <x:v>13608.784811426103</x:v>
      </x:c>
      <x:c r="G3" s="64" t="n">
        <x:f>SUM(O6:O17)</x:f>
        <x:v>3193.2814515694904</x:v>
      </x:c>
      <x:c r="H3" s="64" t="n">
        <x:f>SUM(P6:P17)</x:f>
        <x:v>146.30653398486487</x:v>
      </x:c>
      <x:c r="I3" s="64" t="n">
        <x:f>MAX(SUM(O6:O17),SUM(P6:P17))</x:f>
        <x:v>3193.2814515694904</x:v>
      </x:c>
      <x:c r="J3" s="64" t="n">
        <x:f>SUM(Q6:Q17)</x:f>
        <x:v>3256.329489278666</x:v>
      </x:c>
      <x:c r="K3" s="62" t="str">
        <x:f>IF(SUM(O6:O17)&gt;SUM(P6:P17),"compute",IF(SUM(P6:P17)&gt;SUM(O6:O17),"memory","balanced"))</x:f>
        <x:v>compute</x:v>
      </x:c>
      <x:c r="L3" s="62" t="str">
        <x:f>IF(SUM(M6:M17)&lt;='02_HW'!$C$8,"FIT","EXCEEDS")</x:f>
        <x:v>FIT</x:v>
      </x:c>
      <x:c r="M3" s="64" t="n">
        <x:f>'02_HW'!$C$6/'02_HW'!$C$7</x:f>
        <x:v>623.5135135135135</x:v>
      </x:c>
      <x:c r="N3" s="62" t="str">
        <x:f>IF(F3&gt;=M3,"compute-side","memory-side")</x:f>
        <x:v>compute-side</x:v>
      </x:c>
      <x:c r="O3" s="72"/>
      <x:c r="P3" s="72"/>
      <x:c r="Q3" s="72"/>
      <x:c r="R3" s="72"/>
      <x:c r="S3" s="72"/>
    </x:row>
    <x:row r="5" ht="34" customHeight="1">
      <x:c r="A5" s="14" t="str">
        <x:v>Order</x:v>
      </x:c>
      <x:c r="B5" s="28" t="str">
        <x:v>Phase</x:v>
      </x:c>
      <x:c r="C5" s="28" t="str">
        <x:v>Component</x:v>
      </x:c>
      <x:c r="D5" s="28" t="str">
        <x:v>Stage</x:v>
      </x:c>
      <x:c r="E5" s="28" t="str">
        <x:v>Symbolic equation</x:v>
      </x:c>
      <x:c r="F5" s="28" t="str">
        <x:v>Executions/cadence</x:v>
      </x:c>
      <x:c r="G5" s="28" t="str">
        <x:v>FLOPs</x:v>
      </x:c>
      <x:c r="H5" s="28" t="str">
        <x:v>Required read B</x:v>
      </x:c>
      <x:c r="I5" s="28" t="str">
        <x:v>Mandatory write B</x:v>
      </x:c>
      <x:c r="J5" s="28" t="str">
        <x:v>Temporary/fusible write B</x:v>
      </x:c>
      <x:c r="K5" s="28" t="str">
        <x:v>Effective read B</x:v>
      </x:c>
      <x:c r="L5" s="28" t="str">
        <x:v>Effective write B</x:v>
      </x:c>
      <x:c r="M5" s="28" t="str">
        <x:v>Persistent state B</x:v>
      </x:c>
      <x:c r="N5" s="28" t="str">
        <x:v>AI</x:v>
      </x:c>
      <x:c r="O5" s="28" t="str">
        <x:v>Compute ms</x:v>
      </x:c>
      <x:c r="P5" s="28" t="str">
        <x:v>HBM ms</x:v>
      </x:c>
      <x:c r="Q5" s="28" t="str">
        <x:v>Roofline ms</x:v>
      </x:c>
      <x:c r="R5" s="28" t="str">
        <x:v>Bound</x:v>
      </x:c>
      <x:c r="S5" s="15" t="str">
        <x:v>Evidence/assumption</x:v>
      </x:c>
    </x:row>
    <x:row r="6">
      <x:c r="A6" s="20" t="n">
        <x:f>ROW()-5</x:f>
        <x:v>1</x:v>
      </x:c>
      <x:c r="B6" s="20" t="str">
        <x:v>prefill</x:v>
      </x:c>
      <x:c r="C6" s="20" t="str">
        <x:v>attention</x:v>
      </x:c>
      <x:c r="D6" s="20" t="str">
        <x:v>qkv_projection</x:v>
      </x:c>
      <x:c r="E6" s="23" t="str">
        <x:v>2ND(Dq+2Dkv)</x:v>
      </x:c>
      <x:c r="F6" s="65" t="n">
        <x:f>1</x:f>
        <x:v>1</x:v>
      </x:c>
      <x:c r="G6" s="68" t="n">
        <x:f>(2*((('01_Inputs'!$C$5)*('01_Inputs'!$C$6)))*('01_Inputs'!$C$12)*(((('01_Inputs'!$C$14)*('01_Inputs'!$C$13)))+2*((('01_Inputs'!$C$15)*('01_Inputs'!$C$13)))))</x:f>
        <x:v>1688849860263936</x:v>
      </x:c>
      <x:c r="H6" s="68" t="n">
        <x:f>(((('01_Inputs'!$C$5)*('01_Inputs'!$C$6)))*('01_Inputs'!$C$12)*('01_Inputs'!$C$16)+('01_Inputs'!$C$12)*(((('01_Inputs'!$C$14)*('01_Inputs'!$C$13)))+2*((('01_Inputs'!$C$15)*('01_Inputs'!$C$13))))*('01_Inputs'!$C$17))</x:f>
        <x:v>34561064960</x:v>
      </x:c>
      <x:c r="I6" s="68" t="n">
        <x:f>0</x:f>
        <x:v>0</x:v>
      </x:c>
      <x:c r="J6" s="68" t="n">
        <x:f>(((('01_Inputs'!$C$5)*('01_Inputs'!$C$6)))*((('01_Inputs'!$C$14)*('01_Inputs'!$C$13)))*('01_Inputs'!$C$16))</x:f>
        <x:v>34359738368</x:v>
      </x:c>
      <x:c r="K6" s="68" t="n">
        <x:f>(1)*((((('01_Inputs'!$C$5)*('01_Inputs'!$C$6)))*('01_Inputs'!$C$12)*('01_Inputs'!$C$16)+('01_Inputs'!$C$12)*(((('01_Inputs'!$C$14)*('01_Inputs'!$C$13)))+2*((('01_Inputs'!$C$15)*('01_Inputs'!$C$13))))*('01_Inputs'!$C$17)))</x:f>
        <x:v>34561064960</x:v>
      </x:c>
      <x:c r="L6" s="68" t="n">
        <x:f>(1)*((0)+((((('01_Inputs'!$C$5)*('01_Inputs'!$C$6)))*((('01_Inputs'!$C$14)*('01_Inputs'!$C$13)))*('01_Inputs'!$C$16))))</x:f>
        <x:v>34359738368</x:v>
      </x:c>
      <x:c r="M6" s="68" t="n">
        <x:f>0</x:f>
        <x:v>0</x:v>
      </x:c>
      <x:c r="N6" s="65" t="n">
        <x:f>IF(((1)*(((((('01_Inputs'!$C$5)*('01_Inputs'!$C$6)))*('01_Inputs'!$C$12)*('01_Inputs'!$C$16)+('01_Inputs'!$C$12)*(((('01_Inputs'!$C$14)*('01_Inputs'!$C$13)))+2*((('01_Inputs'!$C$15)*('01_Inputs'!$C$13))))*('01_Inputs'!$C$17)))+(0)+((((('01_Inputs'!$C$5)*('01_Inputs'!$C$6)))*((('01_Inputs'!$C$14)*('01_Inputs'!$C$13)))*('01_Inputs'!$C$16)))))=0,"",((1)*((2*((('01_Inputs'!$C$5)*('01_Inputs'!$C$6)))*('01_Inputs'!$C$12)*(((('01_Inputs'!$C$14)*('01_Inputs'!$C$13)))+2*((('01_Inputs'!$C$15)*('01_Inputs'!$C$13)))))))/(((1)*(((((('01_Inputs'!$C$5)*('01_Inputs'!$C$6)))*('01_Inputs'!$C$12)*('01_Inputs'!$C$16)+('01_Inputs'!$C$12)*(((('01_Inputs'!$C$14)*('01_Inputs'!$C$13)))+2*((('01_Inputs'!$C$15)*('01_Inputs'!$C$13))))*('01_Inputs'!$C$17)))+(0)+((((('01_Inputs'!$C$5)*('01_Inputs'!$C$6)))*((('01_Inputs'!$C$14)*('01_Inputs'!$C$13)))*('01_Inputs'!$C$16)))))))</x:f>
        <x:v>24504.210321324244</x:v>
      </x:c>
      <x:c r="O6" s="65" t="n">
        <x:f>((1)*((2*((('01_Inputs'!$C$5)*('01_Inputs'!$C$6)))*('01_Inputs'!$C$12)*(((('01_Inputs'!$C$14)*('01_Inputs'!$C$13)))+2*((('01_Inputs'!$C$15)*('01_Inputs'!$C$13))))))/(('01_Inputs'!$C$33)*('02_HW'!$C$6))*('02_HW'!$C$10))</x:f>
        <x:v>366.02727790722497</x:v>
      </x:c>
      <x:c r="P6" s="65" t="n">
        <x:f>((1)*(((((('01_Inputs'!$C$5)*('01_Inputs'!$C$6)))*('01_Inputs'!$C$12)*('01_Inputs'!$C$16)+('01_Inputs'!$C$12)*(((('01_Inputs'!$C$14)*('01_Inputs'!$C$13)))+2*((('01_Inputs'!$C$15)*('01_Inputs'!$C$13))))*('01_Inputs'!$C$17)))+(0)+((((('01_Inputs'!$C$5)*('01_Inputs'!$C$6)))*((('01_Inputs'!$C$14)*('01_Inputs'!$C$13)))*('01_Inputs'!$C$16))))/(('01_Inputs'!$C$34)*('02_HW'!$C$7))*('02_HW'!$C$10))</x:f>
        <x:v>9.31362207135135</x:v>
      </x:c>
      <x:c r="Q6" s="65" t="n">
        <x:f>(MAX(((1)*((2*((('01_Inputs'!$C$5)*('01_Inputs'!$C$6)))*('01_Inputs'!$C$12)*(((('01_Inputs'!$C$14)*('01_Inputs'!$C$13)))+2*((('01_Inputs'!$C$15)*('01_Inputs'!$C$13))))))/(('01_Inputs'!$C$33)*('02_HW'!$C$6))*('02_HW'!$C$10)),((1)*(((((('01_Inputs'!$C$5)*('01_Inputs'!$C$6)))*('01_Inputs'!$C$12)*('01_Inputs'!$C$16)+('01_Inputs'!$C$12)*(((('01_Inputs'!$C$14)*('01_Inputs'!$C$13)))+2*((('01_Inputs'!$C$15)*('01_Inputs'!$C$13))))*('01_Inputs'!$C$17)))+(0)+((((('01_Inputs'!$C$5)*('01_Inputs'!$C$6)))*((('01_Inputs'!$C$14)*('01_Inputs'!$C$13)))*('01_Inputs'!$C$16))))/(('01_Inputs'!$C$34)*('02_HW'!$C$7))*('02_HW'!$C$10)))+(1)*('02_HW'!$C$9)*('02_HW'!$C$10))</x:f>
        <x:v>366.02727790722497</x:v>
      </x:c>
      <x:c r="R6" s="20" t="str">
        <x:f>IF(O6&gt;P6,"compute",IF(P6&gt;O6,"memory","balanced"))</x:f>
        <x:v>compute</x:v>
      </x:c>
      <x:c r="S6" s="23" t="str">
        <x:v>Explicit Q materialization; K/V append follows.</x:v>
      </x:c>
    </x:row>
    <x:row r="7">
      <x:c r="A7" s="21" t="n">
        <x:f>ROW()-5</x:f>
        <x:v>2</x:v>
      </x:c>
      <x:c r="B7" s="21" t="str">
        <x:v>prefill</x:v>
      </x:c>
      <x:c r="C7" s="21" t="str">
        <x:v>attention</x:v>
      </x:c>
      <x:c r="D7" s="21" t="str">
        <x:v>kv_cache_append</x:v>
      </x:c>
      <x:c r="E7" s="24" t="str">
        <x:v>2BQDkv bkv</x:v>
      </x:c>
      <x:c r="F7" s="66" t="n">
        <x:f>1</x:f>
        <x:v>1</x:v>
      </x:c>
      <x:c r="G7" s="69" t="n">
        <x:f>0</x:f>
        <x:v>0</x:v>
      </x:c>
      <x:c r="H7" s="69" t="n">
        <x:f>0</x:f>
        <x:v>0</x:v>
      </x:c>
      <x:c r="I7" s="69" t="n">
        <x:f>(2*((('01_Inputs'!$C$5)*('01_Inputs'!$C$6)))*((('01_Inputs'!$C$15)*('01_Inputs'!$C$13)))*('01_Inputs'!$C$18))</x:f>
        <x:v>68719476736</x:v>
      </x:c>
      <x:c r="J7" s="69" t="n">
        <x:f>0</x:f>
        <x:v>0</x:v>
      </x:c>
      <x:c r="K7" s="69" t="n">
        <x:f>(1)*(0)</x:f>
        <x:v>0</x:v>
      </x:c>
      <x:c r="L7" s="69" t="n">
        <x:f>(1)*(((2*((('01_Inputs'!$C$5)*('01_Inputs'!$C$6)))*((('01_Inputs'!$C$15)*('01_Inputs'!$C$13)))*('01_Inputs'!$C$18)))+(0))</x:f>
        <x:v>68719476736</x:v>
      </x:c>
      <x:c r="M7" s="69" t="n">
        <x:f>(2*('01_Inputs'!$C$5)*('01_Inputs'!$C$7)*((('01_Inputs'!$C$15)*('01_Inputs'!$C$13)))*('01_Inputs'!$C$18))</x:f>
        <x:v>68719476736</x:v>
      </x:c>
      <x:c r="N7" s="66" t="n">
        <x:f>IF(((1)*((0)+((2*((('01_Inputs'!$C$5)*('01_Inputs'!$C$6)))*((('01_Inputs'!$C$15)*('01_Inputs'!$C$13)))*('01_Inputs'!$C$18)))+(0)))=0,"",((1)*(0))/(((1)*((0)+((2*((('01_Inputs'!$C$5)*('01_Inputs'!$C$6)))*((('01_Inputs'!$C$15)*('01_Inputs'!$C$13)))*('01_Inputs'!$C$18)))+(0)))))</x:f>
        <x:v>0</x:v>
      </x:c>
      <x:c r="O7" s="66" t="n">
        <x:f>((1)*(0)/(('01_Inputs'!$C$33)*('02_HW'!$C$6))*('02_HW'!$C$10))</x:f>
        <x:v>0</x:v>
      </x:c>
      <x:c r="P7" s="66" t="n">
        <x:f>((1)*((0)+((2*((('01_Inputs'!$C$5)*('01_Inputs'!$C$6)))*((('01_Inputs'!$C$15)*('01_Inputs'!$C$13)))*('01_Inputs'!$C$18)))+(0))/(('01_Inputs'!$C$34)*('02_HW'!$C$7))*('02_HW'!$C$10))</x:f>
        <x:v>9.286415775135136</x:v>
      </x:c>
      <x:c r="Q7" s="66" t="n">
        <x:f>(MAX(((1)*(0)/(('01_Inputs'!$C$33)*('02_HW'!$C$6))*('02_HW'!$C$10)),((1)*((0)+((2*((('01_Inputs'!$C$5)*('01_Inputs'!$C$6)))*((('01_Inputs'!$C$15)*('01_Inputs'!$C$13)))*('01_Inputs'!$C$18)))+(0))/(('01_Inputs'!$C$34)*('02_HW'!$C$7))*('02_HW'!$C$10)))+(1)*('02_HW'!$C$9)*('02_HW'!$C$10))</x:f>
        <x:v>9.286415775135136</x:v>
      </x:c>
      <x:c r="R7" s="21" t="str">
        <x:f>IF(O7&gt;P7,"compute",IF(P7&gt;O7,"memory","balanced"))</x:f>
        <x:v>memory</x:v>
      </x:c>
      <x:c r="S7" s="24" t="str">
        <x:v>Append is invocation-local; state is full KV residency.</x:v>
      </x:c>
    </x:row>
    <x:row r="8">
      <x:c r="A8" s="21" t="n">
        <x:f>ROW()-5</x:f>
        <x:v>3</x:v>
      </x:c>
      <x:c r="B8" s="21" t="str">
        <x:v>prefill</x:v>
      </x:c>
      <x:c r="C8" s="21" t="str">
        <x:v>attention</x:v>
      </x:c>
      <x:c r="D8" s="21" t="str">
        <x:v>q_materialization_read</x:v>
      </x:c>
      <x:c r="E8" s="24" t="str">
        <x:v>NDq ba</x:v>
      </x:c>
      <x:c r="F8" s="66" t="n">
        <x:f>1</x:f>
        <x:v>1</x:v>
      </x:c>
      <x:c r="G8" s="69" t="n">
        <x:f>0</x:f>
        <x:v>0</x:v>
      </x:c>
      <x:c r="H8" s="69" t="n">
        <x:f>(((('01_Inputs'!$C$5)*('01_Inputs'!$C$6)))*((('01_Inputs'!$C$14)*('01_Inputs'!$C$13)))*('01_Inputs'!$C$16))</x:f>
        <x:v>34359738368</x:v>
      </x:c>
      <x:c r="I8" s="69" t="n">
        <x:f>0</x:f>
        <x:v>0</x:v>
      </x:c>
      <x:c r="J8" s="69" t="n">
        <x:f>0</x:f>
        <x:v>0</x:v>
      </x:c>
      <x:c r="K8" s="69" t="n">
        <x:f>(1)*((((('01_Inputs'!$C$5)*('01_Inputs'!$C$6)))*((('01_Inputs'!$C$14)*('01_Inputs'!$C$13)))*('01_Inputs'!$C$16)))</x:f>
        <x:v>34359738368</x:v>
      </x:c>
      <x:c r="L8" s="69" t="n">
        <x:f>(1)*((0)+(0))</x:f>
        <x:v>0</x:v>
      </x:c>
      <x:c r="M8" s="69" t="n">
        <x:f>0</x:f>
        <x:v>0</x:v>
      </x:c>
      <x:c r="N8" s="66" t="n">
        <x:f>IF(((1)*(((((('01_Inputs'!$C$5)*('01_Inputs'!$C$6)))*((('01_Inputs'!$C$14)*('01_Inputs'!$C$13)))*('01_Inputs'!$C$16)))+(0)+(0)))=0,"",((1)*(0))/(((1)*(((((('01_Inputs'!$C$5)*('01_Inputs'!$C$6)))*((('01_Inputs'!$C$14)*('01_Inputs'!$C$13)))*('01_Inputs'!$C$16)))+(0)+(0)))))</x:f>
        <x:v>0</x:v>
      </x:c>
      <x:c r="O8" s="66" t="n">
        <x:f>((1)*(0)/(('01_Inputs'!$C$33)*('02_HW'!$C$6))*('02_HW'!$C$10))</x:f>
        <x:v>0</x:v>
      </x:c>
      <x:c r="P8" s="66" t="n">
        <x:f>((1)*(((((('01_Inputs'!$C$5)*('01_Inputs'!$C$6)))*((('01_Inputs'!$C$14)*('01_Inputs'!$C$13)))*('01_Inputs'!$C$16)))+(0)+(0))/(('01_Inputs'!$C$34)*('02_HW'!$C$7))*('02_HW'!$C$10))</x:f>
        <x:v>4.643207887567568</x:v>
      </x:c>
      <x:c r="Q8" s="66" t="n">
        <x:f>(MAX(((1)*(0)/(('01_Inputs'!$C$33)*('02_HW'!$C$6))*('02_HW'!$C$10)),((1)*(((((('01_Inputs'!$C$5)*('01_Inputs'!$C$6)))*((('01_Inputs'!$C$14)*('01_Inputs'!$C$13)))*('01_Inputs'!$C$16)))+(0)+(0))/(('01_Inputs'!$C$34)*('02_HW'!$C$7))*('02_HW'!$C$10)))+(1)*('02_HW'!$C$9)*('02_HW'!$C$10))</x:f>
        <x:v>4.643207887567568</x:v>
      </x:c>
      <x:c r="R8" s="21" t="str">
        <x:f>IF(O8&gt;P8,"compute",IF(P8&gt;O8,"memory","balanced"))</x:f>
        <x:v>memory</x:v>
      </x:c>
      <x:c r="S8" s="24" t="str">
        <x:v>Fusible Q read remains explicit.</x:v>
      </x:c>
    </x:row>
    <x:row r="9">
      <x:c r="A9" s="21" t="n">
        <x:f>ROW()-5</x:f>
        <x:v>4</x:v>
      </x:c>
      <x:c r="B9" s="21" t="str">
        <x:v>prefill</x:v>
      </x:c>
      <x:c r="C9" s="21" t="str">
        <x:v>attention</x:v>
      </x:c>
      <x:c r="D9" s="21" t="str">
        <x:v>flash_attention</x:v>
      </x:c>
      <x:c r="E9" s="24" t="str">
        <x:v>4Πdh + csoftmaxΠ</x:v>
      </x:c>
      <x:c r="F9" s="66" t="n">
        <x:f>1</x:f>
        <x:v>1</x:v>
      </x:c>
      <x:c r="G9" s="69" t="n">
        <x:f>(4*((('01_Inputs'!$C$5)*('01_Inputs'!$C$14)*('01_Inputs'!$C$6)*(('01_Inputs'!$C$6)+1)/2))*('01_Inputs'!$C$13)+('01_Inputs'!$C$24)*((('01_Inputs'!$C$5)*('01_Inputs'!$C$14)*('01_Inputs'!$C$6)*(('01_Inputs'!$C$6)+1)/2)))</x:f>
        <x:v>9095229575528448</x:v>
      </x:c>
      <x:c r="H9" s="69" t="n">
        <x:f>(2*('01_Inputs'!$C$5)*('01_Inputs'!$C$7)*((('01_Inputs'!$C$15)*('01_Inputs'!$C$13)))*('01_Inputs'!$C$18)*('01_Inputs'!$C$23))</x:f>
        <x:v>68719476736</x:v>
      </x:c>
      <x:c r="I9" s="69" t="n">
        <x:f>(((('01_Inputs'!$C$5)*('01_Inputs'!$C$6)))*((('01_Inputs'!$C$14)*('01_Inputs'!$C$13)))*('01_Inputs'!$C$16))</x:f>
        <x:v>34359738368</x:v>
      </x:c>
      <x:c r="J9" s="69" t="n">
        <x:f>0</x:f>
        <x:v>0</x:v>
      </x:c>
      <x:c r="K9" s="69" t="n">
        <x:f>(1)*((2*('01_Inputs'!$C$5)*('01_Inputs'!$C$7)*((('01_Inputs'!$C$15)*('01_Inputs'!$C$13)))*('01_Inputs'!$C$18)*('01_Inputs'!$C$23)))</x:f>
        <x:v>68719476736</x:v>
      </x:c>
      <x:c r="L9" s="69" t="n">
        <x:f>(1)*(((((('01_Inputs'!$C$5)*('01_Inputs'!$C$6)))*((('01_Inputs'!$C$14)*('01_Inputs'!$C$13)))*('01_Inputs'!$C$16)))+(0))</x:f>
        <x:v>34359738368</x:v>
      </x:c>
      <x:c r="M9" s="69" t="n">
        <x:f>0</x:f>
        <x:v>0</x:v>
      </x:c>
      <x:c r="N9" s="66" t="n">
        <x:f>IF(((1)*(((2*('01_Inputs'!$C$5)*('01_Inputs'!$C$7)*((('01_Inputs'!$C$15)*('01_Inputs'!$C$13)))*('01_Inputs'!$C$18)*('01_Inputs'!$C$23)))+((((('01_Inputs'!$C$5)*('01_Inputs'!$C$6)))*((('01_Inputs'!$C$14)*('01_Inputs'!$C$13)))*('01_Inputs'!$C$16)))+(0)))=0,"",((1)*((4*((('01_Inputs'!$C$5)*('01_Inputs'!$C$14)*('01_Inputs'!$C$6)*(('01_Inputs'!$C$6)+1)/2))*('01_Inputs'!$C$13)+('01_Inputs'!$C$24)*((('01_Inputs'!$C$5)*('01_Inputs'!$C$14)*('01_Inputs'!$C$6)*(('01_Inputs'!$C$6)+1)/2)))))/(((1)*(((2*('01_Inputs'!$C$5)*('01_Inputs'!$C$7)*((('01_Inputs'!$C$15)*('01_Inputs'!$C$13)))*('01_Inputs'!$C$18)*('01_Inputs'!$C$23)))+((((('01_Inputs'!$C$5)*('01_Inputs'!$C$6)))*((('01_Inputs'!$C$14)*('01_Inputs'!$C$13)))*('01_Inputs'!$C$16)))+(0)))))</x:f>
        <x:v>88235.33984375</x:v>
      </x:c>
      <x:c r="O9" s="66" t="n">
        <x:f>((1)*((4*((('01_Inputs'!$C$5)*('01_Inputs'!$C$14)*('01_Inputs'!$C$6)*(('01_Inputs'!$C$6)+1)/2))*('01_Inputs'!$C$13)+('01_Inputs'!$C$24)*((('01_Inputs'!$C$5)*('01_Inputs'!$C$14)*('01_Inputs'!$C$6)*(('01_Inputs'!$C$6)+1)/2))))/(('01_Inputs'!$C$33)*('02_HW'!$C$6))*('02_HW'!$C$10))</x:f>
        <x:v>1971.2244420304394</x:v>
      </x:c>
      <x:c r="P9" s="66" t="n">
        <x:f>((1)*(((2*('01_Inputs'!$C$5)*('01_Inputs'!$C$7)*((('01_Inputs'!$C$15)*('01_Inputs'!$C$13)))*('01_Inputs'!$C$18)*('01_Inputs'!$C$23)))+((((('01_Inputs'!$C$5)*('01_Inputs'!$C$6)))*((('01_Inputs'!$C$14)*('01_Inputs'!$C$13)))*('01_Inputs'!$C$16)))+(0))/(('01_Inputs'!$C$34)*('02_HW'!$C$7))*('02_HW'!$C$10))</x:f>
        <x:v>13.929623662702703</x:v>
      </x:c>
      <x:c r="Q9" s="66" t="n">
        <x:f>(MAX(((1)*((4*((('01_Inputs'!$C$5)*('01_Inputs'!$C$14)*('01_Inputs'!$C$6)*(('01_Inputs'!$C$6)+1)/2))*('01_Inputs'!$C$13)+('01_Inputs'!$C$24)*((('01_Inputs'!$C$5)*('01_Inputs'!$C$14)*('01_Inputs'!$C$6)*(('01_Inputs'!$C$6)+1)/2))))/(('01_Inputs'!$C$33)*('02_HW'!$C$6))*('02_HW'!$C$10)),((1)*(((2*('01_Inputs'!$C$5)*('01_Inputs'!$C$7)*((('01_Inputs'!$C$15)*('01_Inputs'!$C$13)))*('01_Inputs'!$C$18)*('01_Inputs'!$C$23)))+((((('01_Inputs'!$C$5)*('01_Inputs'!$C$6)))*((('01_Inputs'!$C$14)*('01_Inputs'!$C$13)))*('01_Inputs'!$C$16)))+(0))/(('01_Inputs'!$C$34)*('02_HW'!$C$7))*('02_HW'!$C$10)))+(1)*('02_HW'!$C$9)*('02_HW'!$C$10))</x:f>
        <x:v>1971.2244420304394</x:v>
      </x:c>
      <x:c r="R9" s="21" t="str">
        <x:f>IF(O9&gt;P9,"compute",IF(P9&gt;O9,"memory","balanced"))</x:f>
        <x:v>compute</x:v>
      </x:c>
      <x:c r="S9" s="24" t="str">
        <x:v>Causal pairs; no quadratic score/probability HBM write.</x:v>
      </x:c>
    </x:row>
    <x:row r="10">
      <x:c r="A10" s="21" t="n">
        <x:f>ROW()-5</x:f>
        <x:v>5</x:v>
      </x:c>
      <x:c r="B10" s="21" t="str">
        <x:v>prefill</x:v>
      </x:c>
      <x:c r="C10" s="21" t="str">
        <x:v>attention</x:v>
      </x:c>
      <x:c r="D10" s="21" t="str">
        <x:v>output_projection</x:v>
      </x:c>
      <x:c r="E10" s="24" t="str">
        <x:v>2NDqD</x:v>
      </x:c>
      <x:c r="F10" s="66" t="n">
        <x:f>1</x:f>
        <x:v>1</x:v>
      </x:c>
      <x:c r="G10" s="69" t="n">
        <x:f>(2*((('01_Inputs'!$C$5)*('01_Inputs'!$C$6)))*((('01_Inputs'!$C$14)*('01_Inputs'!$C$13)))*('01_Inputs'!$C$12))</x:f>
        <x:v>562949953421312</x:v>
      </x:c>
      <x:c r="H10" s="69" t="n">
        <x:f>(((('01_Inputs'!$C$5)*('01_Inputs'!$C$6)))*((('01_Inputs'!$C$14)*('01_Inputs'!$C$13)))*('01_Inputs'!$C$16)+((('01_Inputs'!$C$14)*('01_Inputs'!$C$13)))*('01_Inputs'!$C$12)*('01_Inputs'!$C$17))</x:f>
        <x:v>34426847232</x:v>
      </x:c>
      <x:c r="I10" s="69" t="n">
        <x:f>0</x:f>
        <x:v>0</x:v>
      </x:c>
      <x:c r="J10" s="69" t="n">
        <x:f>(((('01_Inputs'!$C$5)*('01_Inputs'!$C$6)))*('01_Inputs'!$C$12)*('01_Inputs'!$C$16))</x:f>
        <x:v>34359738368</x:v>
      </x:c>
      <x:c r="K10" s="69" t="n">
        <x:f>(1)*((((('01_Inputs'!$C$5)*('01_Inputs'!$C$6)))*((('01_Inputs'!$C$14)*('01_Inputs'!$C$13)))*('01_Inputs'!$C$16)+((('01_Inputs'!$C$14)*('01_Inputs'!$C$13)))*('01_Inputs'!$C$12)*('01_Inputs'!$C$17)))</x:f>
        <x:v>34426847232</x:v>
      </x:c>
      <x:c r="L10" s="69" t="n">
        <x:f>(1)*((0)+((((('01_Inputs'!$C$5)*('01_Inputs'!$C$6)))*('01_Inputs'!$C$12)*('01_Inputs'!$C$16))))</x:f>
        <x:v>34359738368</x:v>
      </x:c>
      <x:c r="M10" s="69" t="n">
        <x:f>0</x:f>
        <x:v>0</x:v>
      </x:c>
      <x:c r="N10" s="66" t="n">
        <x:f>IF(((1)*(((((('01_Inputs'!$C$5)*('01_Inputs'!$C$6)))*((('01_Inputs'!$C$14)*('01_Inputs'!$C$13)))*('01_Inputs'!$C$16)+((('01_Inputs'!$C$14)*('01_Inputs'!$C$13)))*('01_Inputs'!$C$12)*('01_Inputs'!$C$17)))+(0)+((((('01_Inputs'!$C$5)*('01_Inputs'!$C$6)))*('01_Inputs'!$C$12)*('01_Inputs'!$C$16)))))=0,"",((1)*((2*((('01_Inputs'!$C$5)*('01_Inputs'!$C$6)))*((('01_Inputs'!$C$14)*('01_Inputs'!$C$13)))*('01_Inputs'!$C$12))))/(((1)*(((((('01_Inputs'!$C$5)*('01_Inputs'!$C$6)))*((('01_Inputs'!$C$14)*('01_Inputs'!$C$13)))*('01_Inputs'!$C$16)+((('01_Inputs'!$C$14)*('01_Inputs'!$C$13)))*('01_Inputs'!$C$12)*('01_Inputs'!$C$17)))+(0)+((((('01_Inputs'!$C$5)*('01_Inputs'!$C$6)))*('01_Inputs'!$C$12)*('01_Inputs'!$C$16)))))))</x:f>
        <x:v>8184.007804878049</x:v>
      </x:c>
      <x:c r="O10" s="66" t="n">
        <x:f>((1)*((2*((('01_Inputs'!$C$5)*('01_Inputs'!$C$6)))*((('01_Inputs'!$C$14)*('01_Inputs'!$C$13)))*('01_Inputs'!$C$12)))/(('01_Inputs'!$C$33)*('02_HW'!$C$6))*('02_HW'!$C$10))</x:f>
        <x:v>122.00909263574165</x:v>
      </x:c>
      <x:c r="P10" s="66" t="n">
        <x:f>((1)*(((((('01_Inputs'!$C$5)*('01_Inputs'!$C$6)))*((('01_Inputs'!$C$14)*('01_Inputs'!$C$13)))*('01_Inputs'!$C$16)+((('01_Inputs'!$C$14)*('01_Inputs'!$C$13)))*('01_Inputs'!$C$12)*('01_Inputs'!$C$17)))+(0)+((((('01_Inputs'!$C$5)*('01_Inputs'!$C$6)))*('01_Inputs'!$C$12)*('01_Inputs'!$C$16))))/(('01_Inputs'!$C$34)*('02_HW'!$C$7))*('02_HW'!$C$10))</x:f>
        <x:v>9.29548454054054</x:v>
      </x:c>
      <x:c r="Q10" s="66" t="n">
        <x:f>(MAX(((1)*((2*((('01_Inputs'!$C$5)*('01_Inputs'!$C$6)))*((('01_Inputs'!$C$14)*('01_Inputs'!$C$13)))*('01_Inputs'!$C$12)))/(('01_Inputs'!$C$33)*('02_HW'!$C$6))*('02_HW'!$C$10)),((1)*(((((('01_Inputs'!$C$5)*('01_Inputs'!$C$6)))*((('01_Inputs'!$C$14)*('01_Inputs'!$C$13)))*('01_Inputs'!$C$16)+((('01_Inputs'!$C$14)*('01_Inputs'!$C$13)))*('01_Inputs'!$C$12)*('01_Inputs'!$C$17)))+(0)+((((('01_Inputs'!$C$5)*('01_Inputs'!$C$6)))*('01_Inputs'!$C$12)*('01_Inputs'!$C$16))))/(('01_Inputs'!$C$34)*('02_HW'!$C$7))*('02_HW'!$C$10)))+(1)*('02_HW'!$C$9)*('02_HW'!$C$10))</x:f>
        <x:v>122.00909263574165</x:v>
      </x:c>
      <x:c r="R10" s="21" t="str">
        <x:f>IF(O10&gt;P10,"compute",IF(P10&gt;O10,"memory","balanced"))</x:f>
        <x:v>compute</x:v>
      </x:c>
      <x:c r="S10" s="24" t="str">
        <x:v>Projects attention output to model width.</x:v>
      </x:c>
    </x:row>
    <x:row r="11">
      <x:c r="A11" s="21" t="n">
        <x:f>ROW()-5</x:f>
        <x:v>6</x:v>
      </x:c>
      <x:c r="B11" s="21" t="str">
        <x:v>prefill</x:v>
      </x:c>
      <x:c r="C11" s="21" t="str">
        <x:v>moe</x:v>
      </x:c>
      <x:c r="D11" s="21" t="str">
        <x:v>moe_router</x:v>
      </x:c>
      <x:c r="E11" s="24" t="str">
        <x:v>2NDE + crouterNE</x:v>
      </x:c>
      <x:c r="F11" s="66" t="n">
        <x:f>1</x:f>
        <x:v>1</x:v>
      </x:c>
      <x:c r="G11" s="69" t="n">
        <x:f>(2*((('01_Inputs'!$C$5)*('01_Inputs'!$C$6)))*('01_Inputs'!$C$12)*('01_Inputs'!$C$25)+('01_Inputs'!$C$29)*((('01_Inputs'!$C$5)*('01_Inputs'!$C$6)))*('01_Inputs'!$C$25))</x:f>
        <x:v>8796629893120</x:v>
      </x:c>
      <x:c r="H11" s="69" t="n">
        <x:f>(((((('01_Inputs'!$C$5)*('01_Inputs'!$C$6)))*('01_Inputs'!$C$12)*('01_Inputs'!$C$16)))+('01_Inputs'!$C$12)*('01_Inputs'!$C$25)*('01_Inputs'!$C$17))</x:f>
        <x:v>34360786944</x:v>
      </x:c>
      <x:c r="I11" s="69" t="n">
        <x:f>0</x:f>
        <x:v>0</x:v>
      </x:c>
      <x:c r="J11" s="69" t="n">
        <x:f>(((('01_Inputs'!$C$5)*('01_Inputs'!$C$6)))*('01_Inputs'!$C$26)*('01_Inputs'!$C$30))</x:f>
        <x:v>33554432</x:v>
      </x:c>
      <x:c r="K11" s="69" t="n">
        <x:f>(1)*((((((('01_Inputs'!$C$5)*('01_Inputs'!$C$6)))*('01_Inputs'!$C$12)*('01_Inputs'!$C$16)))+('01_Inputs'!$C$12)*('01_Inputs'!$C$25)*('01_Inputs'!$C$17)))</x:f>
        <x:v>34360786944</x:v>
      </x:c>
      <x:c r="L11" s="69" t="n">
        <x:f>(1)*((0)+((((('01_Inputs'!$C$5)*('01_Inputs'!$C$6)))*('01_Inputs'!$C$26)*('01_Inputs'!$C$30))))</x:f>
        <x:v>33554432</x:v>
      </x:c>
      <x:c r="M11" s="69" t="n">
        <x:f>0</x:f>
        <x:v>0</x:v>
      </x:c>
      <x:c r="N11" s="66" t="n">
        <x:f>IF(((1)*(((((((('01_Inputs'!$C$5)*('01_Inputs'!$C$6)))*('01_Inputs'!$C$12)*('01_Inputs'!$C$16)))+('01_Inputs'!$C$12)*('01_Inputs'!$C$25)*('01_Inputs'!$C$17)))+(0)+((((('01_Inputs'!$C$5)*('01_Inputs'!$C$6)))*('01_Inputs'!$C$26)*('01_Inputs'!$C$30)))))=0,"",((1)*((2*((('01_Inputs'!$C$5)*('01_Inputs'!$C$6)))*('01_Inputs'!$C$12)*('01_Inputs'!$C$25)+('01_Inputs'!$C$29)*((('01_Inputs'!$C$5)*('01_Inputs'!$C$6)))*('01_Inputs'!$C$25))))/(((1)*(((((((('01_Inputs'!$C$5)*('01_Inputs'!$C$6)))*('01_Inputs'!$C$12)*('01_Inputs'!$C$16)))+('01_Inputs'!$C$12)*('01_Inputs'!$C$25)*('01_Inputs'!$C$17)))+(0)+((((('01_Inputs'!$C$5)*('01_Inputs'!$C$6)))*('01_Inputs'!$C$26)*('01_Inputs'!$C$30)))))))</x:f>
        <x:v>255.7580561568245</x:v>
      </x:c>
      <x:c r="O11" s="66" t="n">
        <x:f>((1)*((2*((('01_Inputs'!$C$5)*('01_Inputs'!$C$6)))*('01_Inputs'!$C$12)*('01_Inputs'!$C$25)+('01_Inputs'!$C$29)*((('01_Inputs'!$C$5)*('01_Inputs'!$C$6)))*('01_Inputs'!$C$25)))/(('01_Inputs'!$C$33)*('02_HW'!$C$6))*('02_HW'!$C$10))</x:f>
        <x:v>1.9065084293714782</x:v>
      </x:c>
      <x:c r="P11" s="66" t="n">
        <x:f>((1)*(((((((('01_Inputs'!$C$5)*('01_Inputs'!$C$6)))*('01_Inputs'!$C$12)*('01_Inputs'!$C$16)))+('01_Inputs'!$C$12)*('01_Inputs'!$C$25)*('01_Inputs'!$C$17)))+(0)+((((('01_Inputs'!$C$5)*('01_Inputs'!$C$6)))*('01_Inputs'!$C$26)*('01_Inputs'!$C$30))))/(('01_Inputs'!$C$34)*('02_HW'!$C$7))*('02_HW'!$C$10))</x:f>
        <x:v>4.64788396972973</x:v>
      </x:c>
      <x:c r="Q11" s="66" t="n">
        <x:f>(MAX(((1)*((2*((('01_Inputs'!$C$5)*('01_Inputs'!$C$6)))*('01_Inputs'!$C$12)*('01_Inputs'!$C$25)+('01_Inputs'!$C$29)*((('01_Inputs'!$C$5)*('01_Inputs'!$C$6)))*('01_Inputs'!$C$25)))/(('01_Inputs'!$C$33)*('02_HW'!$C$6))*('02_HW'!$C$10)),((1)*(((((((('01_Inputs'!$C$5)*('01_Inputs'!$C$6)))*('01_Inputs'!$C$12)*('01_Inputs'!$C$16)))+('01_Inputs'!$C$12)*('01_Inputs'!$C$25)*('01_Inputs'!$C$17)))+(0)+((((('01_Inputs'!$C$5)*('01_Inputs'!$C$6)))*('01_Inputs'!$C$26)*('01_Inputs'!$C$30))))/(('01_Inputs'!$C$34)*('02_HW'!$C$7))*('02_HW'!$C$10)))+(1)*('02_HW'!$C$9)*('02_HW'!$C$10))</x:f>
        <x:v>4.64788396972973</x:v>
      </x:c>
      <x:c r="R11" s="21" t="str">
        <x:f>IF(O11&gt;P11,"compute",IF(P11&gt;O11,"memory","balanced"))</x:f>
        <x:v>memory</x:v>
      </x:c>
      <x:c r="S11" s="24" t="str">
        <x:v>Router GEMM plus selection cost.</x:v>
      </x:c>
    </x:row>
    <x:row r="12">
      <x:c r="A12" s="21" t="n">
        <x:f>ROW()-5</x:f>
        <x:v>7</x:v>
      </x:c>
      <x:c r="B12" s="21" t="str">
        <x:v>prefill</x:v>
      </x:c>
      <x:c r="C12" s="21" t="str">
        <x:v>moe</x:v>
      </x:c>
      <x:c r="D12" s="21" t="str">
        <x:v>moe_dispatch</x:v>
      </x:c>
      <x:c r="E12" s="24" t="str">
        <x:v>materialize top-k routes</x:v>
      </x:c>
      <x:c r="F12" s="66" t="n">
        <x:f>1</x:f>
        <x:v>1</x:v>
      </x:c>
      <x:c r="G12" s="69" t="n">
        <x:f>0</x:f>
        <x:v>0</x:v>
      </x:c>
      <x:c r="H12" s="69" t="n">
        <x:f>(((((('01_Inputs'!$C$5)*('01_Inputs'!$C$6)))*('01_Inputs'!$C$12)*('01_Inputs'!$C$16)))+((((('01_Inputs'!$C$5)*('01_Inputs'!$C$6)))*('01_Inputs'!$C$26)*('01_Inputs'!$C$30))))</x:f>
        <x:v>34393292800</x:v>
      </x:c>
      <x:c r="I12" s="69" t="n">
        <x:f>0</x:f>
        <x:v>0</x:v>
      </x:c>
      <x:c r="J12" s="69" t="n">
        <x:f>(((('01_Inputs'!$C$5)*('01_Inputs'!$C$6)))*('01_Inputs'!$C$26)*('01_Inputs'!$C$12)*('01_Inputs'!$C$16))</x:f>
        <x:v>34359738368</x:v>
      </x:c>
      <x:c r="K12" s="69" t="n">
        <x:f>(1)*((((((('01_Inputs'!$C$5)*('01_Inputs'!$C$6)))*('01_Inputs'!$C$12)*('01_Inputs'!$C$16)))+((((('01_Inputs'!$C$5)*('01_Inputs'!$C$6)))*('01_Inputs'!$C$26)*('01_Inputs'!$C$30)))))</x:f>
        <x:v>34393292800</x:v>
      </x:c>
      <x:c r="L12" s="69" t="n">
        <x:f>(1)*((0)+((((('01_Inputs'!$C$5)*('01_Inputs'!$C$6)))*('01_Inputs'!$C$26)*('01_Inputs'!$C$12)*('01_Inputs'!$C$16))))</x:f>
        <x:v>34359738368</x:v>
      </x:c>
      <x:c r="M12" s="69" t="n">
        <x:f>0</x:f>
        <x:v>0</x:v>
      </x:c>
      <x:c r="N12" s="66" t="n">
        <x:f>IF(((1)*(((((((('01_Inputs'!$C$5)*('01_Inputs'!$C$6)))*('01_Inputs'!$C$12)*('01_Inputs'!$C$16)))+((((('01_Inputs'!$C$5)*('01_Inputs'!$C$6)))*('01_Inputs'!$C$26)*('01_Inputs'!$C$30)))))+(0)+((((('01_Inputs'!$C$5)*('01_Inputs'!$C$6)))*('01_Inputs'!$C$26)*('01_Inputs'!$C$12)*('01_Inputs'!$C$16)))))=0,"",((1)*(0))/(((1)*(((((((('01_Inputs'!$C$5)*('01_Inputs'!$C$6)))*('01_Inputs'!$C$12)*('01_Inputs'!$C$16)))+((((('01_Inputs'!$C$5)*('01_Inputs'!$C$6)))*('01_Inputs'!$C$26)*('01_Inputs'!$C$30)))))+(0)+((((('01_Inputs'!$C$5)*('01_Inputs'!$C$6)))*('01_Inputs'!$C$26)*('01_Inputs'!$C$12)*('01_Inputs'!$C$16)))))))</x:f>
        <x:v>0</x:v>
      </x:c>
      <x:c r="O12" s="66" t="n">
        <x:f>((1)*(0)/(('01_Inputs'!$C$33)*('02_HW'!$C$6))*('02_HW'!$C$10))</x:f>
        <x:v>0</x:v>
      </x:c>
      <x:c r="P12" s="66" t="n">
        <x:f>((1)*(((((((('01_Inputs'!$C$5)*('01_Inputs'!$C$6)))*('01_Inputs'!$C$12)*('01_Inputs'!$C$16)))+((((('01_Inputs'!$C$5)*('01_Inputs'!$C$6)))*('01_Inputs'!$C$26)*('01_Inputs'!$C$30)))))+(0)+((((('01_Inputs'!$C$5)*('01_Inputs'!$C$6)))*('01_Inputs'!$C$26)*('01_Inputs'!$C$12)*('01_Inputs'!$C$16))))/(('01_Inputs'!$C$34)*('02_HW'!$C$7))*('02_HW'!$C$10))</x:f>
        <x:v>9.290950157837838</x:v>
      </x:c>
      <x:c r="Q12" s="66" t="n">
        <x:f>(MAX(((1)*(0)/(('01_Inputs'!$C$33)*('02_HW'!$C$6))*('02_HW'!$C$10)),((1)*(((((((('01_Inputs'!$C$5)*('01_Inputs'!$C$6)))*('01_Inputs'!$C$12)*('01_Inputs'!$C$16)))+((((('01_Inputs'!$C$5)*('01_Inputs'!$C$6)))*('01_Inputs'!$C$26)*('01_Inputs'!$C$30)))))+(0)+((((('01_Inputs'!$C$5)*('01_Inputs'!$C$6)))*('01_Inputs'!$C$26)*('01_Inputs'!$C$12)*('01_Inputs'!$C$16))))/(('01_Inputs'!$C$34)*('02_HW'!$C$7))*('02_HW'!$C$10)))+(1)*('02_HW'!$C$9)*('02_HW'!$C$10))</x:f>
        <x:v>9.290950157837838</x:v>
      </x:c>
      <x:c r="R12" s="21" t="str">
        <x:f>IF(O12&gt;P12,"compute",IF(P12&gt;O12,"memory","balanced"))</x:f>
        <x:v>memory</x:v>
      </x:c>
      <x:c r="S12" s="24" t="str">
        <x:v>Dispatch traffic kept visible.</x:v>
      </x:c>
    </x:row>
    <x:row r="13">
      <x:c r="A13" s="21" t="n">
        <x:f>ROW()-5</x:f>
        <x:v>8</x:v>
      </x:c>
      <x:c r="B13" s="21" t="str">
        <x:v>prefill</x:v>
      </x:c>
      <x:c r="C13" s="21" t="str">
        <x:v>moe</x:v>
      </x:c>
      <x:c r="D13" s="21" t="str">
        <x:v>expert_up_projection</x:v>
      </x:c>
      <x:c r="E13" s="24" t="str">
        <x:v>2NrDF</x:v>
      </x:c>
      <x:c r="F13" s="66" t="n">
        <x:f>1</x:f>
        <x:v>1</x:v>
      </x:c>
      <x:c r="G13" s="69" t="n">
        <x:f>(2*((('01_Inputs'!$C$5)*('01_Inputs'!$C$6)))*('01_Inputs'!$C$26)*('01_Inputs'!$C$12)*('01_Inputs'!$C$27))</x:f>
        <x:v>1125899906842624</x:v>
      </x:c>
      <x:c r="H13" s="69" t="n">
        <x:f>(((((('01_Inputs'!$C$5)*('01_Inputs'!$C$6)))*('01_Inputs'!$C$26)*('01_Inputs'!$C$12)*('01_Inputs'!$C$16)))+((((IF(('01_Inputs'!$C$31)&gt;0,('01_Inputs'!$C$31),('01_Inputs'!$C$25)*(1-POWER(1-1/('01_Inputs'!$C$25),((('01_Inputs'!$C$5)*('01_Inputs'!$C$6)))*('01_Inputs'!$C$26))))))*('01_Inputs'!$C$12)*('01_Inputs'!$C$27)*('01_Inputs'!$C$17)*('01_Inputs'!$C$32))))</x:f>
        <x:v>51539607552</x:v>
      </x:c>
      <x:c r="I13" s="69" t="n">
        <x:f>0</x:f>
        <x:v>0</x:v>
      </x:c>
      <x:c r="J13" s="69" t="n">
        <x:f>(IF(('01_Inputs'!$C$36)=1,0,((((('01_Inputs'!$C$5)*('01_Inputs'!$C$6)))*('01_Inputs'!$C$26)*('01_Inputs'!$C$27)*('01_Inputs'!$C$16)))))</x:f>
        <x:v>68719476736</x:v>
      </x:c>
      <x:c r="K13" s="69" t="n">
        <x:f>(1)*((((((('01_Inputs'!$C$5)*('01_Inputs'!$C$6)))*('01_Inputs'!$C$26)*('01_Inputs'!$C$12)*('01_Inputs'!$C$16)))+((((IF(('01_Inputs'!$C$31)&gt;0,('01_Inputs'!$C$31),('01_Inputs'!$C$25)*(1-POWER(1-1/('01_Inputs'!$C$25),((('01_Inputs'!$C$5)*('01_Inputs'!$C$6)))*('01_Inputs'!$C$26))))))*('01_Inputs'!$C$12)*('01_Inputs'!$C$27)*('01_Inputs'!$C$17)*('01_Inputs'!$C$32)))))</x:f>
        <x:v>51539607552</x:v>
      </x:c>
      <x:c r="L13" s="69" t="n">
        <x:f>(1)*((0)+((IF(('01_Inputs'!$C$36)=1,0,((((('01_Inputs'!$C$5)*('01_Inputs'!$C$6)))*('01_Inputs'!$C$26)*('01_Inputs'!$C$27)*('01_Inputs'!$C$16)))))))</x:f>
        <x:v>68719476736</x:v>
      </x:c>
      <x:c r="M13" s="69" t="n">
        <x:f>0</x:f>
        <x:v>0</x:v>
      </x:c>
      <x:c r="N13" s="66" t="n">
        <x:f>IF(((1)*(((((((('01_Inputs'!$C$5)*('01_Inputs'!$C$6)))*('01_Inputs'!$C$26)*('01_Inputs'!$C$12)*('01_Inputs'!$C$16)))+((((IF(('01_Inputs'!$C$31)&gt;0,('01_Inputs'!$C$31),('01_Inputs'!$C$25)*(1-POWER(1-1/('01_Inputs'!$C$25),((('01_Inputs'!$C$5)*('01_Inputs'!$C$6)))*('01_Inputs'!$C$26))))))*('01_Inputs'!$C$12)*('01_Inputs'!$C$27)*('01_Inputs'!$C$17)*('01_Inputs'!$C$32)))))+(0)+((IF(('01_Inputs'!$C$36)=1,0,((((('01_Inputs'!$C$5)*('01_Inputs'!$C$6)))*('01_Inputs'!$C$26)*('01_Inputs'!$C$27)*('01_Inputs'!$C$16))))))))=0,"",((1)*((2*((('01_Inputs'!$C$5)*('01_Inputs'!$C$6)))*('01_Inputs'!$C$26)*('01_Inputs'!$C$12)*('01_Inputs'!$C$27))))/(((1)*(((((((('01_Inputs'!$C$5)*('01_Inputs'!$C$6)))*('01_Inputs'!$C$26)*('01_Inputs'!$C$12)*('01_Inputs'!$C$16)))+((((IF(('01_Inputs'!$C$31)&gt;0,('01_Inputs'!$C$31),('01_Inputs'!$C$25)*(1-POWER(1-1/('01_Inputs'!$C$25),((('01_Inputs'!$C$5)*('01_Inputs'!$C$6)))*('01_Inputs'!$C$26))))))*('01_Inputs'!$C$12)*('01_Inputs'!$C$27)*('01_Inputs'!$C$17)*('01_Inputs'!$C$32)))))+(0)+((IF(('01_Inputs'!$C$36)=1,0,((((('01_Inputs'!$C$5)*('01_Inputs'!$C$6)))*('01_Inputs'!$C$26)*('01_Inputs'!$C$27)*('01_Inputs'!$C$16))))))))))</x:f>
        <x:v>9362.285714285714</x:v>
      </x:c>
      <x:c r="O13" s="66" t="n">
        <x:f>((1)*((2*((('01_Inputs'!$C$5)*('01_Inputs'!$C$6)))*('01_Inputs'!$C$26)*('01_Inputs'!$C$12)*('01_Inputs'!$C$27)))/(('01_Inputs'!$C$33)*('02_HW'!$C$6))*('02_HW'!$C$10))</x:f>
        <x:v>244.0181852714833</x:v>
      </x:c>
      <x:c r="P13" s="66" t="n">
        <x:f>((1)*(((((((('01_Inputs'!$C$5)*('01_Inputs'!$C$6)))*('01_Inputs'!$C$26)*('01_Inputs'!$C$12)*('01_Inputs'!$C$16)))+((((IF(('01_Inputs'!$C$31)&gt;0,('01_Inputs'!$C$31),('01_Inputs'!$C$25)*(1-POWER(1-1/('01_Inputs'!$C$25),((('01_Inputs'!$C$5)*('01_Inputs'!$C$6)))*('01_Inputs'!$C$26))))))*('01_Inputs'!$C$12)*('01_Inputs'!$C$27)*('01_Inputs'!$C$17)*('01_Inputs'!$C$32)))))+(0)+((IF(('01_Inputs'!$C$36)=1,0,((((('01_Inputs'!$C$5)*('01_Inputs'!$C$6)))*('01_Inputs'!$C$26)*('01_Inputs'!$C$27)*('01_Inputs'!$C$16)))))))/(('01_Inputs'!$C$34)*('02_HW'!$C$7))*('02_HW'!$C$10))</x:f>
        <x:v>16.251227606486488</x:v>
      </x:c>
      <x:c r="Q13" s="66" t="n">
        <x:f>(MAX(((1)*((2*((('01_Inputs'!$C$5)*('01_Inputs'!$C$6)))*('01_Inputs'!$C$26)*('01_Inputs'!$C$12)*('01_Inputs'!$C$27)))/(('01_Inputs'!$C$33)*('02_HW'!$C$6))*('02_HW'!$C$10)),((1)*(((((((('01_Inputs'!$C$5)*('01_Inputs'!$C$6)))*('01_Inputs'!$C$26)*('01_Inputs'!$C$12)*('01_Inputs'!$C$16)))+((((IF(('01_Inputs'!$C$31)&gt;0,('01_Inputs'!$C$31),('01_Inputs'!$C$25)*(1-POWER(1-1/('01_Inputs'!$C$25),((('01_Inputs'!$C$5)*('01_Inputs'!$C$6)))*('01_Inputs'!$C$26))))))*('01_Inputs'!$C$12)*('01_Inputs'!$C$27)*('01_Inputs'!$C$17)*('01_Inputs'!$C$32)))))+(0)+((IF(('01_Inputs'!$C$36)=1,0,((((('01_Inputs'!$C$5)*('01_Inputs'!$C$6)))*('01_Inputs'!$C$26)*('01_Inputs'!$C$27)*('01_Inputs'!$C$16)))))))/(('01_Inputs'!$C$34)*('02_HW'!$C$7))*('02_HW'!$C$10)))+(1)*('02_HW'!$C$9)*('02_HW'!$C$10))</x:f>
        <x:v>244.0181852714833</x:v>
      </x:c>
      <x:c r="R13" s="21" t="str">
        <x:f>IF(O13&gt;P13,"compute",IF(P13&gt;O13,"memory","balanced"))</x:f>
        <x:v>compute</x:v>
      </x:c>
      <x:c r="S13" s="24" t="str">
        <x:v>Expected active-expert weight read.</x:v>
      </x:c>
    </x:row>
    <x:row r="14">
      <x:c r="A14" s="21" t="n">
        <x:f>ROW()-5</x:f>
        <x:v>9</x:v>
      </x:c>
      <x:c r="B14" s="21" t="str">
        <x:v>prefill</x:v>
      </x:c>
      <x:c r="C14" s="21" t="str">
        <x:v>moe</x:v>
      </x:c>
      <x:c r="D14" s="21" t="str">
        <x:v>expert_gate_projection</x:v>
      </x:c>
      <x:c r="E14" s="24" t="str">
        <x:v>2NrDF</x:v>
      </x:c>
      <x:c r="F14" s="66" t="n">
        <x:f>1</x:f>
        <x:v>1</x:v>
      </x:c>
      <x:c r="G14" s="69" t="n">
        <x:f>(2*((('01_Inputs'!$C$5)*('01_Inputs'!$C$6)))*('01_Inputs'!$C$26)*('01_Inputs'!$C$12)*('01_Inputs'!$C$27))</x:f>
        <x:v>1125899906842624</x:v>
      </x:c>
      <x:c r="H14" s="69" t="n">
        <x:f>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$12)*('01_Inputs'!$C$16))))))</x:f>
        <x:v>51539607552</x:v>
      </x:c>
      <x:c r="I14" s="69" t="n">
        <x:f>0</x:f>
        <x:v>0</x:v>
      </x:c>
      <x:c r="J14" s="69" t="n">
        <x:f>(IF(('01_Inputs'!$C$36)=1,0,((((('01_Inputs'!$C$5)*('01_Inputs'!$C$6)))*('01_Inputs'!$C$26)*('01_Inputs'!$C$27)*('01_Inputs'!$C$16)))))</x:f>
        <x:v>68719476736</x:v>
      </x:c>
      <x:c r="K14" s="69" t="n">
        <x:f>(1)*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$12)*('01_Inputs'!$C$16)))))))</x:f>
        <x:v>51539607552</x:v>
      </x:c>
      <x:c r="L14" s="69" t="n">
        <x:f>(1)*((0)+((IF(('01_Inputs'!$C$36)=1,0,((((('01_Inputs'!$C$5)*('01_Inputs'!$C$6)))*('01_Inputs'!$C$26)*('01_Inputs'!$C$27)*('01_Inputs'!$C$16)))))))</x:f>
        <x:v>68719476736</x:v>
      </x:c>
      <x:c r="M14" s="69" t="n">
        <x:f>0</x:f>
        <x:v>0</x:v>
      </x:c>
      <x:c r="N14" s="66" t="n">
        <x:f>IF(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$12)*('01_Inputs'!$C$16)))))))+(0)+((IF(('01_Inputs'!$C$36)=1,0,((((('01_Inputs'!$C$5)*('01_Inputs'!$C$6)))*('01_Inputs'!$C$26)*('01_Inputs'!$C$27)*('01_Inputs'!$C$16))))))))=0,"",((1)*((2*((('01_Inputs'!$C$5)*('01_Inputs'!$C$6)))*('01_Inputs'!$C$26)*('01_Inputs'!$C$12)*('01_Inputs'!$C$27))))/(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$12)*('01_Inputs'!$C$16)))))))+(0)+((IF(('01_Inputs'!$C$36)=1,0,((((('01_Inputs'!$C$5)*('01_Inputs'!$C$6)))*('01_Inputs'!$C$26)*('01_Inputs'!$C$27)*('01_Inputs'!$C$16))))))))))</x:f>
        <x:v>9362.285714285714</x:v>
      </x:c>
      <x:c r="O14" s="66" t="n">
        <x:f>((1)*((2*((('01_Inputs'!$C$5)*('01_Inputs'!$C$6)))*('01_Inputs'!$C$26)*('01_Inputs'!$C$12)*('01_Inputs'!$C$27)))/(('01_Inputs'!$C$33)*('02_HW'!$C$6))*('02_HW'!$C$10))</x:f>
        <x:v>244.0181852714833</x:v>
      </x:c>
      <x:c r="P14" s="66" t="n">
        <x:f>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$12)*('01_Inputs'!$C$16)))))))+(0)+((IF(('01_Inputs'!$C$36)=1,0,((((('01_Inputs'!$C$5)*('01_Inputs'!$C$6)))*('01_Inputs'!$C$26)*('01_Inputs'!$C$27)*('01_Inputs'!$C$16)))))))/(('01_Inputs'!$C$34)*('02_HW'!$C$7))*('02_HW'!$C$10))</x:f>
        <x:v>16.251227606486488</x:v>
      </x:c>
      <x:c r="Q14" s="66" t="n">
        <x:f>(MAX(((1)*((2*((('01_Inputs'!$C$5)*('01_Inputs'!$C$6)))*('01_Inputs'!$C$26)*('01_Inputs'!$C$12)*('01_Inputs'!$C$27)))/(('01_Inputs'!$C$33)*('02_HW'!$C$6))*('02_HW'!$C$10)),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$12)*('01_Inputs'!$C$16)))))))+(0)+((IF(('01_Inputs'!$C$36)=1,0,((((('01_Inputs'!$C$5)*('01_Inputs'!$C$6)))*('01_Inputs'!$C$26)*('01_Inputs'!$C$27)*('01_Inputs'!$C$16)))))))/(('01_Inputs'!$C$34)*('02_HW'!$C$7))*('02_HW'!$C$10)))+(1)*('02_HW'!$C$9)*('02_HW'!$C$10))</x:f>
        <x:v>244.0181852714833</x:v>
      </x:c>
      <x:c r="R14" s="21" t="str">
        <x:f>IF(O14&gt;P14,"compute",IF(P14&gt;O14,"memory","balanced"))</x:f>
        <x:v>compute</x:v>
      </x:c>
      <x:c r="S14" s="24" t="str">
        <x:v>SwiGLU gate matrix.</x:v>
      </x:c>
    </x:row>
    <x:row r="15">
      <x:c r="A15" s="21" t="n">
        <x:f>ROW()-5</x:f>
        <x:v>10</x:v>
      </x:c>
      <x:c r="B15" s="21" t="str">
        <x:v>prefill</x:v>
      </x:c>
      <x:c r="C15" s="21" t="str">
        <x:v>moe</x:v>
      </x:c>
      <x:c r="D15" s="21" t="str">
        <x:v>expert_swiglu_activation</x:v>
      </x:c>
      <x:c r="E15" s="24" t="str">
        <x:v>NrF cactivation</x:v>
      </x:c>
      <x:c r="F15" s="66" t="n">
        <x:f>1</x:f>
        <x:v>1</x:v>
      </x:c>
      <x:c r="G15" s="69" t="n">
        <x:f>(((('01_Inputs'!$C$5)*('01_Inputs'!$C$6)))*('01_Inputs'!$C$26)*('01_Inputs'!$C$27)*('01_Inputs'!$C$35))</x:f>
        <x:v>274877906944</x:v>
      </x:c>
      <x:c r="H15" s="69" t="n">
        <x:f>(IF(('01_Inputs'!$C$36)=1,0,(2*((((('01_Inputs'!$C$5)*('01_Inputs'!$C$6)))*('01_Inputs'!$C$26)*('01_Inputs'!$C$27)*('01_Inputs'!$C$16))))))</x:f>
        <x:v>137438953472</x:v>
      </x:c>
      <x:c r="I15" s="69" t="n">
        <x:f>0</x:f>
        <x:v>0</x:v>
      </x:c>
      <x:c r="J15" s="69" t="n">
        <x:f>(IF(('01_Inputs'!$C$36)=1,0,((((('01_Inputs'!$C$5)*('01_Inputs'!$C$6)))*('01_Inputs'!$C$26)*('01_Inputs'!$C$27)*('01_Inputs'!$C$16)))))</x:f>
        <x:v>68719476736</x:v>
      </x:c>
      <x:c r="K15" s="69" t="n">
        <x:f>(1)*((IF(('01_Inputs'!$C$36)=1,0,(2*((((('01_Inputs'!$C$5)*('01_Inputs'!$C$6)))*('01_Inputs'!$C$26)*('01_Inputs'!$C$27)*('01_Inputs'!$C$16)))))))</x:f>
        <x:v>137438953472</x:v>
      </x:c>
      <x:c r="L15" s="69" t="n">
        <x:f>(1)*((0)+((IF(('01_Inputs'!$C$36)=1,0,((((('01_Inputs'!$C$5)*('01_Inputs'!$C$6)))*('01_Inputs'!$C$26)*('01_Inputs'!$C$27)*('01_Inputs'!$C$16)))))))</x:f>
        <x:v>68719476736</x:v>
      </x:c>
      <x:c r="M15" s="69" t="n">
        <x:f>0</x:f>
        <x:v>0</x:v>
      </x:c>
      <x:c r="N15" s="66" t="n">
        <x:f>IF(((1)*(((IF(('01_Inputs'!$C$36)=1,0,(2*((((('01_Inputs'!$C$5)*('01_Inputs'!$C$6)))*('01_Inputs'!$C$26)*('01_Inputs'!$C$27)*('01_Inputs'!$C$16)))))))+(0)+((IF(('01_Inputs'!$C$36)=1,0,((((('01_Inputs'!$C$5)*('01_Inputs'!$C$6)))*('01_Inputs'!$C$26)*('01_Inputs'!$C$27)*('01_Inputs'!$C$16))))))))=0,"",((1)*((((('01_Inputs'!$C$5)*('01_Inputs'!$C$6)))*('01_Inputs'!$C$26)*('01_Inputs'!$C$27)*('01_Inputs'!$C$35))))/(((1)*(((IF(('01_Inputs'!$C$36)=1,0,(2*((((('01_Inputs'!$C$5)*('01_Inputs'!$C$6)))*('01_Inputs'!$C$26)*('01_Inputs'!$C$27)*('01_Inputs'!$C$16)))))))+(0)+((IF(('01_Inputs'!$C$36)=1,0,((((('01_Inputs'!$C$5)*('01_Inputs'!$C$6)))*('01_Inputs'!$C$26)*('01_Inputs'!$C$27)*('01_Inputs'!$C$16))))))))))</x:f>
        <x:v>1.3333333333333333</x:v>
      </x:c>
      <x:c r="O15" s="66" t="n">
        <x:f>((1)*((((('01_Inputs'!$C$5)*('01_Inputs'!$C$6)))*('01_Inputs'!$C$26)*('01_Inputs'!$C$27)*('01_Inputs'!$C$35)))/(('01_Inputs'!$C$33)*('02_HW'!$C$6))*('02_HW'!$C$10))</x:f>
        <x:v>0.05957475226354573</x:v>
      </x:c>
      <x:c r="P15" s="66" t="n">
        <x:f>((1)*(((IF(('01_Inputs'!$C$36)=1,0,(2*((((('01_Inputs'!$C$5)*('01_Inputs'!$C$6)))*('01_Inputs'!$C$26)*('01_Inputs'!$C$27)*('01_Inputs'!$C$16)))))))+(0)+((IF(('01_Inputs'!$C$36)=1,0,((((('01_Inputs'!$C$5)*('01_Inputs'!$C$6)))*('01_Inputs'!$C$26)*('01_Inputs'!$C$27)*('01_Inputs'!$C$16)))))))/(('01_Inputs'!$C$34)*('02_HW'!$C$7))*('02_HW'!$C$10))</x:f>
        <x:v>27.859247325405406</x:v>
      </x:c>
      <x:c r="Q15" s="66" t="n">
        <x:f>(MAX(((1)*((((('01_Inputs'!$C$5)*('01_Inputs'!$C$6)))*('01_Inputs'!$C$26)*('01_Inputs'!$C$27)*('01_Inputs'!$C$35)))/(('01_Inputs'!$C$33)*('02_HW'!$C$6))*('02_HW'!$C$10)),((1)*(((IF(('01_Inputs'!$C$36)=1,0,(2*((((('01_Inputs'!$C$5)*('01_Inputs'!$C$6)))*('01_Inputs'!$C$26)*('01_Inputs'!$C$27)*('01_Inputs'!$C$16)))))))+(0)+((IF(('01_Inputs'!$C$36)=1,0,((((('01_Inputs'!$C$5)*('01_Inputs'!$C$6)))*('01_Inputs'!$C$26)*('01_Inputs'!$C$27)*('01_Inputs'!$C$16)))))))/(('01_Inputs'!$C$34)*('02_HW'!$C$7))*('02_HW'!$C$10)))+(1)*('02_HW'!$C$9)*('02_HW'!$C$10))</x:f>
        <x:v>27.859247325405406</x:v>
      </x:c>
      <x:c r="R15" s="21" t="str">
        <x:f>IF(O15&gt;P15,"compute",IF(P15&gt;O15,"memory","balanced"))</x:f>
        <x:v>memory</x:v>
      </x:c>
      <x:c r="S15" s="24" t="str">
        <x:v>Elementwise traffic vanishes only under fusion.</x:v>
      </x:c>
    </x:row>
    <x:row r="16">
      <x:c r="A16" s="21" t="n">
        <x:f>ROW()-5</x:f>
        <x:v>11</x:v>
      </x:c>
      <x:c r="B16" s="21" t="str">
        <x:v>prefill</x:v>
      </x:c>
      <x:c r="C16" s="21" t="str">
        <x:v>moe</x:v>
      </x:c>
      <x:c r="D16" s="21" t="str">
        <x:v>expert_down_projection</x:v>
      </x:c>
      <x:c r="E16" s="24" t="str">
        <x:v>2NrDF</x:v>
      </x:c>
      <x:c r="F16" s="66" t="n">
        <x:f>1</x:f>
        <x:v>1</x:v>
      </x:c>
      <x:c r="G16" s="69" t="n">
        <x:f>(2*((('01_Inputs'!$C$5)*('01_Inputs'!$C$6)))*('01_Inputs'!$C$26)*('01_Inputs'!$C$12)*('01_Inputs'!$C$27))</x:f>
        <x:v>1125899906842624</x:v>
      </x:c>
      <x:c r="H16" s="69" t="n">
        <x:f>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$27)*('01_Inputs'!$C$16))))))</x:f>
        <x:v>85899345920</x:v>
      </x:c>
      <x:c r="I16" s="69" t="n">
        <x:f>0</x:f>
        <x:v>0</x:v>
      </x:c>
      <x:c r="J16" s="69" t="n">
        <x:f>(((('01_Inputs'!$C$5)*('01_Inputs'!$C$6)))*('01_Inputs'!$C$26)*('01_Inputs'!$C$12)*('01_Inputs'!$C$16))</x:f>
        <x:v>34359738368</x:v>
      </x:c>
      <x:c r="K16" s="69" t="n">
        <x:f>(1)*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$27)*('01_Inputs'!$C$16)))))))</x:f>
        <x:v>85899345920</x:v>
      </x:c>
      <x:c r="L16" s="69" t="n">
        <x:f>(1)*((0)+((((('01_Inputs'!$C$5)*('01_Inputs'!$C$6)))*('01_Inputs'!$C$26)*('01_Inputs'!$C$12)*('01_Inputs'!$C$16))))</x:f>
        <x:v>34359738368</x:v>
      </x:c>
      <x:c r="M16" s="69" t="n">
        <x:f>0</x:f>
        <x:v>0</x:v>
      </x:c>
      <x:c r="N16" s="66" t="n">
        <x:f>IF(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$27)*('01_Inputs'!$C$16)))))))+(0)+((((('01_Inputs'!$C$5)*('01_Inputs'!$C$6)))*('01_Inputs'!$C$26)*('01_Inputs'!$C$12)*('01_Inputs'!$C$16)))))=0,"",((1)*((2*((('01_Inputs'!$C$5)*('01_Inputs'!$C$6)))*('01_Inputs'!$C$26)*('01_Inputs'!$C$12)*('01_Inputs'!$C$27))))/(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$27)*('01_Inputs'!$C$16)))))))+(0)+((((('01_Inputs'!$C$5)*('01_Inputs'!$C$6)))*('01_Inputs'!$C$26)*('01_Inputs'!$C$12)*('01_Inputs'!$C$16)))))))</x:f>
        <x:v>9362.285714285714</x:v>
      </x:c>
      <x:c r="O16" s="66" t="n">
        <x:f>((1)*((2*((('01_Inputs'!$C$5)*('01_Inputs'!$C$6)))*('01_Inputs'!$C$26)*('01_Inputs'!$C$12)*('01_Inputs'!$C$27)))/(('01_Inputs'!$C$33)*('02_HW'!$C$6))*('02_HW'!$C$10))</x:f>
        <x:v>244.0181852714833</x:v>
      </x:c>
      <x:c r="P16" s="66" t="n">
        <x:f>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$27)*('01_Inputs'!$C$16)))))))+(0)+((((('01_Inputs'!$C$5)*('01_Inputs'!$C$6)))*('01_Inputs'!$C$26)*('01_Inputs'!$C$12)*('01_Inputs'!$C$16))))/(('01_Inputs'!$C$34)*('02_HW'!$C$7))*('02_HW'!$C$10))</x:f>
        <x:v>16.251227606486488</x:v>
      </x:c>
      <x:c r="Q16" s="66" t="n">
        <x:f>(MAX(((1)*((2*((('01_Inputs'!$C$5)*('01_Inputs'!$C$6)))*('01_Inputs'!$C$26)*('01_Inputs'!$C$12)*('01_Inputs'!$C$27)))/(('01_Inputs'!$C$33)*('02_HW'!$C$6))*('02_HW'!$C$10)),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$27)*('01_Inputs'!$C$16)))))))+(0)+((((('01_Inputs'!$C$5)*('01_Inputs'!$C$6)))*('01_Inputs'!$C$26)*('01_Inputs'!$C$12)*('01_Inputs'!$C$16))))/(('01_Inputs'!$C$34)*('02_HW'!$C$7))*('02_HW'!$C$10)))+(1)*('02_HW'!$C$9)*('02_HW'!$C$10))</x:f>
        <x:v>244.0181852714833</x:v>
      </x:c>
      <x:c r="R16" s="21" t="str">
        <x:f>IF(O16&gt;P16,"compute",IF(P16&gt;O16,"memory","balanced"))</x:f>
        <x:v>compute</x:v>
      </x:c>
      <x:c r="S16" s="24" t="str">
        <x:v>Down matrix plus routed output.</x:v>
      </x:c>
    </x:row>
    <x:row r="17">
      <x:c r="A17" s="22" t="n">
        <x:f>ROW()-5</x:f>
        <x:v>12</x:v>
      </x:c>
      <x:c r="B17" s="22" t="str">
        <x:v>prefill</x:v>
      </x:c>
      <x:c r="C17" s="22" t="str">
        <x:v>moe</x:v>
      </x:c>
      <x:c r="D17" s="22" t="str">
        <x:v>moe_combine</x:v>
      </x:c>
      <x:c r="E17" s="25" t="str">
        <x:v>combine top-k outputs</x:v>
      </x:c>
      <x:c r="F17" s="67" t="n">
        <x:f>1</x:f>
        <x:v>1</x:v>
      </x:c>
      <x:c r="G17" s="70" t="n">
        <x:f>0</x:f>
        <x:v>0</x:v>
      </x:c>
      <x:c r="H17" s="70" t="n">
        <x:f>(((('01_Inputs'!$C$5)*('01_Inputs'!$C$6)))*('01_Inputs'!$C$26)*('01_Inputs'!$C$12)*('01_Inputs'!$C$16))</x:f>
        <x:v>34359738368</x:v>
      </x:c>
      <x:c r="I17" s="70" t="n">
        <x:f>(((('01_Inputs'!$C$5)*('01_Inputs'!$C$6)))*('01_Inputs'!$C$12)*('01_Inputs'!$C$16))</x:f>
        <x:v>34359738368</x:v>
      </x:c>
      <x:c r="J17" s="70" t="n">
        <x:f>0</x:f>
        <x:v>0</x:v>
      </x:c>
      <x:c r="K17" s="70" t="n">
        <x:f>(1)*((((('01_Inputs'!$C$5)*('01_Inputs'!$C$6)))*('01_Inputs'!$C$26)*('01_Inputs'!$C$12)*('01_Inputs'!$C$16)))</x:f>
        <x:v>34359738368</x:v>
      </x:c>
      <x:c r="L17" s="70" t="n">
        <x:f>(1)*(((((('01_Inputs'!$C$5)*('01_Inputs'!$C$6)))*('01_Inputs'!$C$12)*('01_Inputs'!$C$16)))+(0))</x:f>
        <x:v>34359738368</x:v>
      </x:c>
      <x:c r="M17" s="70" t="n">
        <x:f>0</x:f>
        <x:v>0</x:v>
      </x:c>
      <x:c r="N17" s="67" t="n">
        <x:f>IF(((1)*(((((('01_Inputs'!$C$5)*('01_Inputs'!$C$6)))*('01_Inputs'!$C$26)*('01_Inputs'!$C$12)*('01_Inputs'!$C$16)))+((((('01_Inputs'!$C$5)*('01_Inputs'!$C$6)))*('01_Inputs'!$C$12)*('01_Inputs'!$C$16)))+(0)))=0,"",((1)*(0))/(((1)*(((((('01_Inputs'!$C$5)*('01_Inputs'!$C$6)))*('01_Inputs'!$C$26)*('01_Inputs'!$C$12)*('01_Inputs'!$C$16)))+((((('01_Inputs'!$C$5)*('01_Inputs'!$C$6)))*('01_Inputs'!$C$12)*('01_Inputs'!$C$16)))+(0)))))</x:f>
        <x:v>0</x:v>
      </x:c>
      <x:c r="O17" s="67" t="n">
        <x:f>((1)*(0)/(('01_Inputs'!$C$33)*('02_HW'!$C$6))*('02_HW'!$C$10))</x:f>
        <x:v>0</x:v>
      </x:c>
      <x:c r="P17" s="67" t="n">
        <x:f>((1)*(((((('01_Inputs'!$C$5)*('01_Inputs'!$C$6)))*('01_Inputs'!$C$26)*('01_Inputs'!$C$12)*('01_Inputs'!$C$16)))+((((('01_Inputs'!$C$5)*('01_Inputs'!$C$6)))*('01_Inputs'!$C$12)*('01_Inputs'!$C$16)))+(0))/(('01_Inputs'!$C$34)*('02_HW'!$C$7))*('02_HW'!$C$10))</x:f>
        <x:v>9.286415775135136</x:v>
      </x:c>
      <x:c r="Q17" s="67" t="n">
        <x:f>(MAX(((1)*(0)/(('01_Inputs'!$C$33)*('02_HW'!$C$6))*('02_HW'!$C$10)),((1)*(((((('01_Inputs'!$C$5)*('01_Inputs'!$C$6)))*('01_Inputs'!$C$26)*('01_Inputs'!$C$12)*('01_Inputs'!$C$16)))+((((('01_Inputs'!$C$5)*('01_Inputs'!$C$6)))*('01_Inputs'!$C$12)*('01_Inputs'!$C$16)))+(0))/(('01_Inputs'!$C$34)*('02_HW'!$C$7))*('02_HW'!$C$10)))+(1)*('02_HW'!$C$9)*('02_HW'!$C$10))</x:f>
        <x:v>9.286415775135136</x:v>
      </x:c>
      <x:c r="R17" s="22" t="str">
        <x:f>IF(O17&gt;P17,"compute",IF(P17&gt;O17,"memory","balanced"))</x:f>
        <x:v>memory</x:v>
      </x:c>
      <x:c r="S17" s="25" t="str">
        <x:v>Mandatory block-output write.</x:v>
      </x:c>
    </x:row>
  </x:sheetData>
  <x:mergeCells>
    <x:mergeCell ref="A1: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27" hidden="0" customWidth="1"/>
    <x:col min="5" max="5" width="31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18" hidden="0" customWidth="1"/>
    <x:col min="14" max="14" width="12" hidden="0" customWidth="1"/>
    <x:col min="15" max="15" width="13" hidden="0" customWidth="1"/>
    <x:col min="16" max="16" width="13" hidden="0" customWidth="1"/>
    <x:col min="17" max="17" width="13" hidden="0" customWidth="1"/>
    <x:col min="18" max="18" width="12" hidden="0" customWidth="1"/>
    <x:col min="19" max="19" width="42" hidden="0" customWidth="1"/>
  </x:cols>
  <x:sheetData>
    <x:row r="1" ht="28" customHeight="1">
      <x:c r="A1" s="3" t="str">
        <x:v>11 · Attention + MoE decode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58" t="str">
        <x:v>Total FLOPs</x:v>
      </x:c>
      <x:c r="B2" s="59" t="str">
        <x:v>HBM read B</x:v>
      </x:c>
      <x:c r="C2" s="59" t="str">
        <x:v>HBM write B</x:v>
      </x:c>
      <x:c r="D2" s="59" t="str">
        <x:v>HBM total B</x:v>
      </x:c>
      <x:c r="E2" s="59" t="str">
        <x:v>Persistent state B</x:v>
      </x:c>
      <x:c r="F2" s="59" t="str">
        <x:v>AI FLOP/B</x:v>
      </x:c>
      <x:c r="G2" s="59" t="str">
        <x:v>Aggregate compute ms</x:v>
      </x:c>
      <x:c r="H2" s="59" t="str">
        <x:v>Aggregate HBM ms</x:v>
      </x:c>
      <x:c r="I2" s="59" t="str">
        <x:v>Aggregate latency ms</x:v>
      </x:c>
      <x:c r="J2" s="59" t="str">
        <x:v>Stagewise latency ms</x:v>
      </x:c>
      <x:c r="K2" s="59" t="str">
        <x:v>Bound</x:v>
      </x:c>
      <x:c r="L2" s="59" t="str">
        <x:v>HBM fit</x:v>
      </x:c>
      <x:c r="M2" s="59" t="str">
        <x:v>Ridge AI</x:v>
      </x:c>
      <x:c r="N2" s="60" t="str">
        <x:v>Ridge class</x:v>
      </x:c>
      <x:c r="O2" s="71"/>
      <x:c r="P2" s="71"/>
      <x:c r="Q2" s="71"/>
      <x:c r="R2" s="71"/>
      <x:c r="S2" s="71"/>
    </x:row>
    <x:row r="3">
      <x:c r="A3" s="63" t="n">
        <x:f>SUM(G6:G18)</x:f>
        <x:v>181800013824</x:v>
      </x:c>
      <x:c r="B3" s="63" t="n">
        <x:f>SUM(K6:K18)</x:f>
        <x:v>80500169377.34651</x:v>
      </x:c>
      <x:c r="C3" s="63" t="n">
        <x:f>SUM(L6:L18)</x:f>
        <x:v>71303424</x:v>
      </x:c>
      <x:c r="D3" s="63" t="n">
        <x:f>SUM(K6:L18)</x:f>
        <x:v>80571472801.34651</x:v>
      </x:c>
      <x:c r="E3" s="63" t="n">
        <x:f>SUM(M6:M18)</x:f>
        <x:v>68719476736</x:v>
      </x:c>
      <x:c r="F3" s="64" t="n">
        <x:f>IF(SUM(K6:L18)=0,"",SUM(G6:G18)/SUM(K6:L18))</x:f>
        <x:v>2.2563819116505184</x:v>
      </x:c>
      <x:c r="G3" s="64" t="n">
        <x:f>SUM(O6:O18)</x:f>
        <x:v>0.039401823542262675</x:v>
      </x:c>
      <x:c r="H3" s="64" t="n">
        <x:f>SUM(P6:P18)</x:f>
        <x:v>10.888036865046827</x:v>
      </x:c>
      <x:c r="I3" s="64" t="n">
        <x:f>MAX(SUM(O6:O18),SUM(P6:P18))</x:f>
        <x:v>10.888036865046827</x:v>
      </x:c>
      <x:c r="J3" s="64" t="n">
        <x:f>SUM(Q6:Q18)</x:f>
        <x:v>10.888036865046827</x:v>
      </x:c>
      <x:c r="K3" s="62" t="str">
        <x:f>IF(SUM(O6:O18)&gt;SUM(P6:P18),"compute",IF(SUM(P6:P18)&gt;SUM(O6:O18),"memory","balanced"))</x:f>
        <x:v>memory</x:v>
      </x:c>
      <x:c r="L3" s="62" t="str">
        <x:f>IF(SUM(M6:M18)&lt;='02_HW'!$C$8,"FIT","EXCEEDS")</x:f>
        <x:v>FIT</x:v>
      </x:c>
      <x:c r="M3" s="64" t="n">
        <x:f>'02_HW'!$C$6/'02_HW'!$C$7</x:f>
        <x:v>623.5135135135135</x:v>
      </x:c>
      <x:c r="N3" s="62" t="str">
        <x:f>IF(F3&gt;=M3,"compute-side","memory-side")</x:f>
        <x:v>memory-side</x:v>
      </x:c>
      <x:c r="O3" s="72"/>
      <x:c r="P3" s="72"/>
      <x:c r="Q3" s="72"/>
      <x:c r="R3" s="72"/>
      <x:c r="S3" s="72"/>
    </x:row>
    <x:row r="5" ht="34" customHeight="1">
      <x:c r="A5" s="14" t="str">
        <x:v>Order</x:v>
      </x:c>
      <x:c r="B5" s="28" t="str">
        <x:v>Phase</x:v>
      </x:c>
      <x:c r="C5" s="28" t="str">
        <x:v>Component</x:v>
      </x:c>
      <x:c r="D5" s="28" t="str">
        <x:v>Stage</x:v>
      </x:c>
      <x:c r="E5" s="28" t="str">
        <x:v>Symbolic equation</x:v>
      </x:c>
      <x:c r="F5" s="28" t="str">
        <x:v>Executions/cadence</x:v>
      </x:c>
      <x:c r="G5" s="28" t="str">
        <x:v>FLOPs</x:v>
      </x:c>
      <x:c r="H5" s="28" t="str">
        <x:v>Required read B</x:v>
      </x:c>
      <x:c r="I5" s="28" t="str">
        <x:v>Mandatory write B</x:v>
      </x:c>
      <x:c r="J5" s="28" t="str">
        <x:v>Temporary/fusible write B</x:v>
      </x:c>
      <x:c r="K5" s="28" t="str">
        <x:v>Effective read B</x:v>
      </x:c>
      <x:c r="L5" s="28" t="str">
        <x:v>Effective write B</x:v>
      </x:c>
      <x:c r="M5" s="28" t="str">
        <x:v>Persistent state B</x:v>
      </x:c>
      <x:c r="N5" s="28" t="str">
        <x:v>AI</x:v>
      </x:c>
      <x:c r="O5" s="28" t="str">
        <x:v>Compute ms</x:v>
      </x:c>
      <x:c r="P5" s="28" t="str">
        <x:v>HBM ms</x:v>
      </x:c>
      <x:c r="Q5" s="28" t="str">
        <x:v>Roofline ms</x:v>
      </x:c>
      <x:c r="R5" s="28" t="str">
        <x:v>Bound</x:v>
      </x:c>
      <x:c r="S5" s="15" t="str">
        <x:v>Evidence/assumption</x:v>
      </x:c>
    </x:row>
    <x:row r="6">
      <x:c r="A6" s="20" t="n">
        <x:f>ROW()-5</x:f>
        <x:v>1</x:v>
      </x:c>
      <x:c r="B6" s="20" t="str">
        <x:v>decode</x:v>
      </x:c>
      <x:c r="C6" s="20" t="str">
        <x:v>attention</x:v>
      </x:c>
      <x:c r="D6" s="20" t="str">
        <x:v>qkv_projection</x:v>
      </x:c>
      <x:c r="E6" s="23" t="str">
        <x:v>2ND(Dq+2Dkv)</x:v>
      </x:c>
      <x:c r="F6" s="65" t="n">
        <x:f>1</x:f>
        <x:v>1</x:v>
      </x:c>
      <x:c r="G6" s="68" t="n">
        <x:f>(2*((('01_Inputs'!$C$5)*('01_Inputs'!$C$10)))*('01_Inputs'!$C$12)*(((('01_Inputs'!$C$14)*('01_Inputs'!$C$13)))+2*((('01_Inputs'!$C$15)*('01_Inputs'!$C$13)))))</x:f>
        <x:v>12884901888</x:v>
      </x:c>
      <x:c r="H6" s="68" t="n">
        <x:f>(((('01_Inputs'!$C$5)*('01_Inputs'!$C$10)))*('01_Inputs'!$C$12)*('01_Inputs'!$C$16)+('01_Inputs'!$C$12)*(((('01_Inputs'!$C$14)*('01_Inputs'!$C$13)))+2*((('01_Inputs'!$C$15)*('01_Inputs'!$C$13))))*('01_Inputs'!$C$17))</x:f>
        <x:v>201588736</x:v>
      </x:c>
      <x:c r="I6" s="68" t="n">
        <x:f>0</x:f>
        <x:v>0</x:v>
      </x:c>
      <x:c r="J6" s="68" t="n">
        <x:f>(((('01_Inputs'!$C$5)*('01_Inputs'!$C$10)))*((('01_Inputs'!$C$14)*('01_Inputs'!$C$13)))*('01_Inputs'!$C$16))</x:f>
        <x:v>262144</x:v>
      </x:c>
      <x:c r="K6" s="68" t="n">
        <x:f>(1)*((((('01_Inputs'!$C$5)*('01_Inputs'!$C$10)))*('01_Inputs'!$C$12)*('01_Inputs'!$C$16)+('01_Inputs'!$C$12)*(((('01_Inputs'!$C$14)*('01_Inputs'!$C$13)))+2*((('01_Inputs'!$C$15)*('01_Inputs'!$C$13))))*('01_Inputs'!$C$17)))</x:f>
        <x:v>201588736</x:v>
      </x:c>
      <x:c r="L6" s="68" t="n">
        <x:f>(1)*((0)+((((('01_Inputs'!$C$5)*('01_Inputs'!$C$10)))*((('01_Inputs'!$C$14)*('01_Inputs'!$C$13)))*('01_Inputs'!$C$16))))</x:f>
        <x:v>262144</x:v>
      </x:c>
      <x:c r="M6" s="68" t="n">
        <x:f>0</x:f>
        <x:v>0</x:v>
      </x:c>
      <x:c r="N6" s="65" t="n">
        <x:f>IF(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)=0,"",((1)*((2*((('01_Inputs'!$C$5)*('01_Inputs'!$C$10)))*('01_Inputs'!$C$12)*(((('01_Inputs'!$C$14)*('01_Inputs'!$C$13)))+2*((('01_Inputs'!$C$15)*('01_Inputs'!$C$13)))))))/(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)))</x:f>
        <x:v>63.833766233766234</x:v>
      </x:c>
      <x:c r="O6" s="65" t="n">
        <x:f>((1)*((2*((('01_Inputs'!$C$5)*('01_Inputs'!$C$10)))*('01_Inputs'!$C$12)*(((('01_Inputs'!$C$14)*('01_Inputs'!$C$13)))+2*((('01_Inputs'!$C$15)*('01_Inputs'!$C$13))))))/(('01_Inputs'!$C$33)*('02_HW'!$C$6))*('02_HW'!$C$10))</x:f>
        <x:v>0.002792566512353706</x:v>
      </x:c>
      <x:c r="P6" s="65" t="n">
        <x:f>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</x:f>
        <x:v>0.027277145945945946</x:v>
      </x:c>
      <x:c r="Q6" s="65" t="n">
        <x:f>(MAX(((1)*((2*((('01_Inputs'!$C$5)*('01_Inputs'!$C$10)))*('01_Inputs'!$C$12)*(((('01_Inputs'!$C$14)*('01_Inputs'!$C$13)))+2*((('01_Inputs'!$C$15)*('01_Inputs'!$C$13))))))/(('01_Inputs'!$C$33)*('02_HW'!$C$6))*('02_HW'!$C$10)),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)+(1)*('02_HW'!$C$9)*('02_HW'!$C$10))</x:f>
        <x:v>0.027277145945945946</x:v>
      </x:c>
      <x:c r="R6" s="20" t="str">
        <x:f>IF(O6&gt;P6,"compute",IF(P6&gt;O6,"memory","balanced"))</x:f>
        <x:v>memory</x:v>
      </x:c>
      <x:c r="S6" s="23" t="str">
        <x:v>Explicit Q materialization; K/V append follows.</x:v>
      </x:c>
    </x:row>
    <x:row r="7">
      <x:c r="A7" s="21" t="n">
        <x:f>ROW()-5</x:f>
        <x:v>2</x:v>
      </x:c>
      <x:c r="B7" s="21" t="str">
        <x:v>decode</x:v>
      </x:c>
      <x:c r="C7" s="21" t="str">
        <x:v>attention</x:v>
      </x:c>
      <x:c r="D7" s="21" t="str">
        <x:v>kv_cache_append</x:v>
      </x:c>
      <x:c r="E7" s="24" t="str">
        <x:v>2BQDkv bkv</x:v>
      </x:c>
      <x:c r="F7" s="66" t="n">
        <x:f>1</x:f>
        <x:v>1</x:v>
      </x:c>
      <x:c r="G7" s="69" t="n">
        <x:f>0</x:f>
        <x:v>0</x:v>
      </x:c>
      <x:c r="H7" s="69" t="n">
        <x:f>0</x:f>
        <x:v>0</x:v>
      </x:c>
      <x:c r="I7" s="69" t="n">
        <x:f>(2*((('01_Inputs'!$C$5)*('01_Inputs'!$C$10)))*((('01_Inputs'!$C$15)*('01_Inputs'!$C$13)))*('01_Inputs'!$C$18))</x:f>
        <x:v>524288</x:v>
      </x:c>
      <x:c r="J7" s="69" t="n">
        <x:f>0</x:f>
        <x:v>0</x:v>
      </x:c>
      <x:c r="K7" s="69" t="n">
        <x:f>(1)*(0)</x:f>
        <x:v>0</x:v>
      </x:c>
      <x:c r="L7" s="69" t="n">
        <x:f>(1)*(((2*((('01_Inputs'!$C$5)*('01_Inputs'!$C$10)))*((('01_Inputs'!$C$15)*('01_Inputs'!$C$13)))*('01_Inputs'!$C$18)))+(0))</x:f>
        <x:v>524288</x:v>
      </x:c>
      <x:c r="M7" s="69" t="n">
        <x:f>(2*('01_Inputs'!$C$5)*('01_Inputs'!$C$11)*((('01_Inputs'!$C$15)*('01_Inputs'!$C$13)))*('01_Inputs'!$C$18))</x:f>
        <x:v>68719476736</x:v>
      </x:c>
      <x:c r="N7" s="66" t="n">
        <x:f>IF(((1)*((0)+((2*((('01_Inputs'!$C$5)*('01_Inputs'!$C$10)))*((('01_Inputs'!$C$15)*('01_Inputs'!$C$13)))*('01_Inputs'!$C$18)))+(0)))=0,"",((1)*(0))/(((1)*((0)+((2*((('01_Inputs'!$C$5)*('01_Inputs'!$C$10)))*((('01_Inputs'!$C$15)*('01_Inputs'!$C$13)))*('01_Inputs'!$C$18)))+(0)))))</x:f>
        <x:v>0</x:v>
      </x:c>
      <x:c r="O7" s="66" t="n">
        <x:f>((1)*(0)/(('01_Inputs'!$C$33)*('02_HW'!$C$6))*('02_HW'!$C$10))</x:f>
        <x:v>0</x:v>
      </x:c>
      <x:c r="P7" s="66" t="n">
        <x:f>((1)*((0)+((2*((('01_Inputs'!$C$5)*('01_Inputs'!$C$10)))*((('01_Inputs'!$C$15)*('01_Inputs'!$C$13)))*('01_Inputs'!$C$18)))+(0))/(('01_Inputs'!$C$34)*('02_HW'!$C$7))*('02_HW'!$C$10))</x:f>
        <x:v>0.00007084972972972974</x:v>
      </x:c>
      <x:c r="Q7" s="66" t="n">
        <x:f>(MAX(((1)*(0)/(('01_Inputs'!$C$33)*('02_HW'!$C$6))*('02_HW'!$C$10)),((1)*((0)+((2*((('01_Inputs'!$C$5)*('01_Inputs'!$C$10)))*((('01_Inputs'!$C$15)*('01_Inputs'!$C$13)))*('01_Inputs'!$C$18)))+(0))/(('01_Inputs'!$C$34)*('02_HW'!$C$7))*('02_HW'!$C$10)))+(1)*('02_HW'!$C$9)*('02_HW'!$C$10))</x:f>
        <x:v>0.00007084972972972974</x:v>
      </x:c>
      <x:c r="R7" s="21" t="str">
        <x:f>IF(O7&gt;P7,"compute",IF(P7&gt;O7,"memory","balanced"))</x:f>
        <x:v>memory</x:v>
      </x:c>
      <x:c r="S7" s="24" t="str">
        <x:v>Append is invocation-local; state is full KV residency.</x:v>
      </x:c>
    </x:row>
    <x:row r="8">
      <x:c r="A8" s="21" t="n">
        <x:f>ROW()-5</x:f>
        <x:v>3</x:v>
      </x:c>
      <x:c r="B8" s="21" t="str">
        <x:v>decode</x:v>
      </x:c>
      <x:c r="C8" s="21" t="str">
        <x:v>attention</x:v>
      </x:c>
      <x:c r="D8" s="21" t="str">
        <x:v>q_materialization_read</x:v>
      </x:c>
      <x:c r="E8" s="24" t="str">
        <x:v>NDq ba</x:v>
      </x:c>
      <x:c r="F8" s="66" t="n">
        <x:f>1</x:f>
        <x:v>1</x:v>
      </x:c>
      <x:c r="G8" s="69" t="n">
        <x:f>0</x:f>
        <x:v>0</x:v>
      </x:c>
      <x:c r="H8" s="69" t="n">
        <x:f>(((('01_Inputs'!$C$5)*('01_Inputs'!$C$10)))*((('01_Inputs'!$C$14)*('01_Inputs'!$C$13)))*('01_Inputs'!$C$16))</x:f>
        <x:v>262144</x:v>
      </x:c>
      <x:c r="I8" s="69" t="n">
        <x:f>0</x:f>
        <x:v>0</x:v>
      </x:c>
      <x:c r="J8" s="69" t="n">
        <x:f>0</x:f>
        <x:v>0</x:v>
      </x:c>
      <x:c r="K8" s="69" t="n">
        <x:f>(1)*((((('01_Inputs'!$C$5)*('01_Inputs'!$C$10)))*((('01_Inputs'!$C$14)*('01_Inputs'!$C$13)))*('01_Inputs'!$C$16)))</x:f>
        <x:v>262144</x:v>
      </x:c>
      <x:c r="L8" s="69" t="n">
        <x:f>(1)*((0)+(0))</x:f>
        <x:v>0</x:v>
      </x:c>
      <x:c r="M8" s="69" t="n">
        <x:f>0</x:f>
        <x:v>0</x:v>
      </x:c>
      <x:c r="N8" s="66" t="n">
        <x:f>IF(((1)*(((((('01_Inputs'!$C$5)*('01_Inputs'!$C$10)))*((('01_Inputs'!$C$14)*('01_Inputs'!$C$13)))*('01_Inputs'!$C$16)))+(0)+(0)))=0,"",((1)*(0))/(((1)*(((((('01_Inputs'!$C$5)*('01_Inputs'!$C$10)))*((('01_Inputs'!$C$14)*('01_Inputs'!$C$13)))*('01_Inputs'!$C$16)))+(0)+(0)))))</x:f>
        <x:v>0</x:v>
      </x:c>
      <x:c r="O8" s="66" t="n">
        <x:f>((1)*(0)/(('01_Inputs'!$C$33)*('02_HW'!$C$6))*('02_HW'!$C$10))</x:f>
        <x:v>0</x:v>
      </x:c>
      <x:c r="P8" s="66" t="n">
        <x:f>((1)*(((((('01_Inputs'!$C$5)*('01_Inputs'!$C$10)))*((('01_Inputs'!$C$14)*('01_Inputs'!$C$13)))*('01_Inputs'!$C$16)))+(0)+(0))/(('01_Inputs'!$C$34)*('02_HW'!$C$7))*('02_HW'!$C$10))</x:f>
        <x:v>0.00003542486486486487</x:v>
      </x:c>
      <x:c r="Q8" s="66" t="n">
        <x:f>(MAX(((1)*(0)/(('01_Inputs'!$C$33)*('02_HW'!$C$6))*('02_HW'!$C$10)),((1)*(((((('01_Inputs'!$C$5)*('01_Inputs'!$C$10)))*((('01_Inputs'!$C$14)*('01_Inputs'!$C$13)))*('01_Inputs'!$C$16)))+(0)+(0))/(('01_Inputs'!$C$34)*('02_HW'!$C$7))*('02_HW'!$C$10)))+(1)*('02_HW'!$C$9)*('02_HW'!$C$10))</x:f>
        <x:v>0.00003542486486486487</x:v>
      </x:c>
      <x:c r="R8" s="21" t="str">
        <x:f>IF(O8&gt;P8,"compute",IF(P8&gt;O8,"memory","balanced"))</x:f>
        <x:v>memory</x:v>
      </x:c>
      <x:c r="S8" s="24" t="str">
        <x:v>Fusible Q read remains explicit.</x:v>
      </x:c>
    </x:row>
    <x:row r="9">
      <x:c r="A9" s="21" t="n">
        <x:f>ROW()-5</x:f>
        <x:v>4</x:v>
      </x:c>
      <x:c r="B9" s="21" t="str">
        <x:v>decode</x:v>
      </x:c>
      <x:c r="C9" s="21" t="str">
        <x:v>attention</x:v>
      </x:c>
      <x:c r="D9" s="21" t="str">
        <x:v>flash_decode_partials</x:v>
      </x:c>
      <x:c r="E9" s="24" t="str">
        <x:v>4BHqQKdh + csoftmaxBHqQK</x:v>
      </x:c>
      <x:c r="F9" s="66" t="n">
        <x:f>1</x:f>
        <x:v>1</x:v>
      </x:c>
      <x:c r="G9" s="69" t="n">
        <x:f>(4*((('01_Inputs'!$C$5)*('01_Inputs'!$C$14)*('01_Inputs'!$C$10)*('01_Inputs'!$C$11)))*('01_Inputs'!$C$13)+('01_Inputs'!$C$24)*((('01_Inputs'!$C$5)*('01_Inputs'!$C$14)*('01_Inputs'!$C$10)*('01_Inputs'!$C$11))))</x:f>
        <x:v>138781130752</x:v>
      </x:c>
      <x:c r="H9" s="69" t="n">
        <x:f>(2*('01_Inputs'!$C$5)*('01_Inputs'!$C$11)*((('01_Inputs'!$C$15)*('01_Inputs'!$C$13)))*('01_Inputs'!$C$18)*('01_Inputs'!$C$23))</x:f>
        <x:v>68719476736</x:v>
      </x:c>
      <x:c r="I9" s="69" t="n">
        <x:f>(IF(('01_Inputs'!$C$21)=1,(((('01_Inputs'!$C$5)*('01_Inputs'!$C$10)))*((('01_Inputs'!$C$14)*('01_Inputs'!$C$13)))*('01_Inputs'!$C$16)),0))</x:f>
        <x:v>0</x:v>
      </x:c>
      <x:c r="J9" s="69" t="n">
        <x:f>(IF(('01_Inputs'!$C$21)=1,0,('01_Inputs'!$C$5)*('01_Inputs'!$C$10)*('01_Inputs'!$C$14)*('01_Inputs'!$C$21)*(('01_Inputs'!$C$13)*('01_Inputs'!$C$19)+('01_Inputs'!$C$20))))</x:f>
        <x:v>67633152</x:v>
      </x:c>
      <x:c r="K9" s="69" t="n">
        <x:f>(1)*((2*('01_Inputs'!$C$5)*('01_Inputs'!$C$11)*((('01_Inputs'!$C$15)*('01_Inputs'!$C$13)))*('01_Inputs'!$C$18)*('01_Inputs'!$C$23)))</x:f>
        <x:v>68719476736</x:v>
      </x:c>
      <x:c r="L9" s="69" t="n">
        <x:f>(1)*(((IF(('01_Inputs'!$C$21)=1,(((('01_Inputs'!$C$5)*('01_Inputs'!$C$10)))*((('01_Inputs'!$C$14)*('01_Inputs'!$C$13)))*('01_Inputs'!$C$16)),0)))+((IF(('01_Inputs'!$C$21)=1,0,('01_Inputs'!$C$5)*('01_Inputs'!$C$10)*('01_Inputs'!$C$14)*('01_Inputs'!$C$21)*(('01_Inputs'!$C$13)*('01_Inputs'!$C$19)+('01_Inputs'!$C$20))))))</x:f>
        <x:v>67633152</x:v>
      </x:c>
      <x:c r="M9" s="69" t="n">
        <x:f>0</x:f>
        <x:v>0</x:v>
      </x:c>
      <x:c r="N9" s="66" t="n">
        <x:f>IF(((1)*(((2*('01_Inputs'!$C$5)*('01_Inputs'!$C$11)*((('01_Inputs'!$C$15)*('01_Inputs'!$C$13)))*('01_Inputs'!$C$18)*('01_Inputs'!$C$23)))+((IF(('01_Inputs'!$C$21)=1,(((('01_Inputs'!$C$5)*('01_Inputs'!$C$10)))*((('01_Inputs'!$C$14)*('01_Inputs'!$C$13)))*('01_Inputs'!$C$16)),0)))+((IF(('01_Inputs'!$C$21)=1,0,('01_Inputs'!$C$5)*('01_Inputs'!$C$10)*('01_Inputs'!$C$14)*('01_Inputs'!$C$21)*(('01_Inputs'!$C$13)*('01_Inputs'!$C$19)+('01_Inputs'!$C$20)))))))=0,"",((1)*((4*((('01_Inputs'!$C$5)*('01_Inputs'!$C$14)*('01_Inputs'!$C$10)*('01_Inputs'!$C$11)))*('01_Inputs'!$C$13)+('01_Inputs'!$C$24)*((('01_Inputs'!$C$5)*('01_Inputs'!$C$14)*('01_Inputs'!$C$10)*('01_Inputs'!$C$11))))))/(((1)*(((2*('01_Inputs'!$C$5)*('01_Inputs'!$C$11)*((('01_Inputs'!$C$15)*('01_Inputs'!$C$13)))*('01_Inputs'!$C$18)*('01_Inputs'!$C$23)))+((IF(('01_Inputs'!$C$21)=1,(((('01_Inputs'!$C$5)*('01_Inputs'!$C$10)))*((('01_Inputs'!$C$14)*('01_Inputs'!$C$13)))*('01_Inputs'!$C$16)),0)))+((IF(('01_Inputs'!$C$21)=1,0,('01_Inputs'!$C$5)*('01_Inputs'!$C$10)*('01_Inputs'!$C$14)*('01_Inputs'!$C$21)*(('01_Inputs'!$C$13)*('01_Inputs'!$C$19)+('01_Inputs'!$C$20)))))))))</x:f>
        <x:v>2.017545597975625</x:v>
      </x:c>
      <x:c r="O9" s="66" t="n">
        <x:f>((1)*((4*((('01_Inputs'!$C$5)*('01_Inputs'!$C$14)*('01_Inputs'!$C$10)*('01_Inputs'!$C$11)))*('01_Inputs'!$C$13)+('01_Inputs'!$C$24)*((('01_Inputs'!$C$5)*('01_Inputs'!$C$14)*('01_Inputs'!$C$10)*('01_Inputs'!$C$11)))))/(('01_Inputs'!$C$33)*('02_HW'!$C$6))*('02_HW'!$C$10))</x:f>
        <x:v>0.030078268476809708</x:v>
      </x:c>
      <x:c r="P9" s="66" t="n">
        <x:f>((1)*(((2*('01_Inputs'!$C$5)*('01_Inputs'!$C$11)*((('01_Inputs'!$C$15)*('01_Inputs'!$C$13)))*('01_Inputs'!$C$18)*('01_Inputs'!$C$23)))+((IF(('01_Inputs'!$C$21)=1,(((('01_Inputs'!$C$5)*('01_Inputs'!$C$10)))*((('01_Inputs'!$C$14)*('01_Inputs'!$C$13)))*('01_Inputs'!$C$16)),0)))+((IF(('01_Inputs'!$C$21)=1,0,('01_Inputs'!$C$5)*('01_Inputs'!$C$10)*('01_Inputs'!$C$14)*('01_Inputs'!$C$21)*(('01_Inputs'!$C$13)*('01_Inputs'!$C$19)+('01_Inputs'!$C$20))))))/(('01_Inputs'!$C$34)*('02_HW'!$C$7))*('02_HW'!$C$10))</x:f>
        <x:v>9.29555539027027</x:v>
      </x:c>
      <x:c r="Q9" s="66" t="n">
        <x:f>(MAX(((1)*((4*((('01_Inputs'!$C$5)*('01_Inputs'!$C$14)*('01_Inputs'!$C$10)*('01_Inputs'!$C$11)))*('01_Inputs'!$C$13)+('01_Inputs'!$C$24)*((('01_Inputs'!$C$5)*('01_Inputs'!$C$14)*('01_Inputs'!$C$10)*('01_Inputs'!$C$11)))))/(('01_Inputs'!$C$33)*('02_HW'!$C$6))*('02_HW'!$C$10)),((1)*(((2*('01_Inputs'!$C$5)*('01_Inputs'!$C$11)*((('01_Inputs'!$C$15)*('01_Inputs'!$C$13)))*('01_Inputs'!$C$18)*('01_Inputs'!$C$23)))+((IF(('01_Inputs'!$C$21)=1,(((('01_Inputs'!$C$5)*('01_Inputs'!$C$10)))*((('01_Inputs'!$C$14)*('01_Inputs'!$C$13)))*('01_Inputs'!$C$16)),0)))+((IF(('01_Inputs'!$C$21)=1,0,('01_Inputs'!$C$5)*('01_Inputs'!$C$10)*('01_Inputs'!$C$14)*('01_Inputs'!$C$21)*(('01_Inputs'!$C$13)*('01_Inputs'!$C$19)+('01_Inputs'!$C$20))))))/(('01_Inputs'!$C$34)*('02_HW'!$C$7))*('02_HW'!$C$10)))+(1)*('02_HW'!$C$9)*('02_HW'!$C$10))</x:f>
        <x:v>9.29555539027027</x:v>
      </x:c>
      <x:c r="R9" s="21" t="str">
        <x:f>IF(O9&gt;P9,"compute",IF(P9&gt;O9,"memory","balanced"))</x:f>
        <x:v>memory</x:v>
      </x:c>
      <x:c r="S9" s="24" t="str">
        <x:v>KV traffic is linear in K; split partials only for G&gt;1.</x:v>
      </x:c>
    </x:row>
    <x:row r="10">
      <x:c r="A10" s="21" t="n">
        <x:f>ROW()-5</x:f>
        <x:v>5</x:v>
      </x:c>
      <x:c r="B10" s="21" t="str">
        <x:v>decode</x:v>
      </x:c>
      <x:c r="C10" s="21" t="str">
        <x:v>attention</x:v>
      </x:c>
      <x:c r="D10" s="21" t="str">
        <x:v>flash_decode_reduce</x:v>
      </x:c>
      <x:c r="E10" s="24" t="str">
        <x:v>read partials; write O</x:v>
      </x:c>
      <x:c r="F10" s="66" t="n">
        <x:f>(IF(('01_Inputs'!$C$21)&gt;1,1,0))</x:f>
        <x:v>1</x:v>
      </x:c>
      <x:c r="G10" s="69" t="n">
        <x:f>0</x:f>
        <x:v>0</x:v>
      </x:c>
      <x:c r="H10" s="69" t="n">
        <x:f>(IF(('01_Inputs'!$C$21)=1,0,('01_Inputs'!$C$5)*('01_Inputs'!$C$10)*('01_Inputs'!$C$14)*('01_Inputs'!$C$21)*(('01_Inputs'!$C$13)*('01_Inputs'!$C$19)+('01_Inputs'!$C$20))))</x:f>
        <x:v>67633152</x:v>
      </x:c>
      <x:c r="I10" s="69" t="n">
        <x:f>(((('01_Inputs'!$C$5)*('01_Inputs'!$C$10)))*((('01_Inputs'!$C$14)*('01_Inputs'!$C$13)))*('01_Inputs'!$C$16))</x:f>
        <x:v>262144</x:v>
      </x:c>
      <x:c r="J10" s="69" t="n">
        <x:f>0</x:f>
        <x:v>0</x:v>
      </x:c>
      <x:c r="K10" s="69" t="n">
        <x:f>((IF(('01_Inputs'!$C$21)&gt;1,1,0)))*((IF(('01_Inputs'!$C$21)=1,0,('01_Inputs'!$C$5)*('01_Inputs'!$C$10)*('01_Inputs'!$C$14)*('01_Inputs'!$C$21)*(('01_Inputs'!$C$13)*('01_Inputs'!$C$19)+('01_Inputs'!$C$20)))))</x:f>
        <x:v>67633152</x:v>
      </x:c>
      <x:c r="L10" s="69" t="n">
        <x:f>((IF(('01_Inputs'!$C$21)&gt;1,1,0)))*(((((('01_Inputs'!$C$5)*('01_Inputs'!$C$10)))*((('01_Inputs'!$C$14)*('01_Inputs'!$C$13)))*('01_Inputs'!$C$16)))+(0))</x:f>
        <x:v>262144</x:v>
      </x:c>
      <x:c r="M10" s="69" t="n">
        <x:f>0</x:f>
        <x:v>0</x:v>
      </x:c>
      <x:c r="N10" s="66" t="n">
        <x:f>IF((((IF(('01_Inputs'!$C$21)&gt;1,1,0)))*(((IF(('01_Inputs'!$C$21)=1,0,('01_Inputs'!$C$5)*('01_Inputs'!$C$10)*('01_Inputs'!$C$14)*('01_Inputs'!$C$21)*(('01_Inputs'!$C$13)*('01_Inputs'!$C$19)+('01_Inputs'!$C$20)))))+((((('01_Inputs'!$C$5)*('01_Inputs'!$C$10)))*((('01_Inputs'!$C$14)*('01_Inputs'!$C$13)))*('01_Inputs'!$C$16)))+(0)))=0,"",(((IF(('01_Inputs'!$C$21)&gt;1,1,0)))*(0))/((((IF(('01_Inputs'!$C$21)&gt;1,1,0)))*(((IF(('01_Inputs'!$C$21)=1,0,('01_Inputs'!$C$5)*('01_Inputs'!$C$10)*('01_Inputs'!$C$14)*('01_Inputs'!$C$21)*(('01_Inputs'!$C$13)*('01_Inputs'!$C$19)+('01_Inputs'!$C$20)))))+((((('01_Inputs'!$C$5)*('01_Inputs'!$C$10)))*((('01_Inputs'!$C$14)*('01_Inputs'!$C$13)))*('01_Inputs'!$C$16)))+(0)))))</x:f>
        <x:v>0</x:v>
      </x:c>
      <x:c r="O10" s="66" t="n">
        <x:f>(((IF(('01_Inputs'!$C$21)&gt;1,1,0)))*(0)/(('01_Inputs'!$C$33)*('02_HW'!$C$6))*('02_HW'!$C$10))</x:f>
        <x:v>0</x:v>
      </x:c>
      <x:c r="P10" s="66" t="n">
        <x:f>(((IF(('01_Inputs'!$C$21)&gt;1,1,0)))*(((IF(('01_Inputs'!$C$21)=1,0,('01_Inputs'!$C$5)*('01_Inputs'!$C$10)*('01_Inputs'!$C$14)*('01_Inputs'!$C$21)*(('01_Inputs'!$C$13)*('01_Inputs'!$C$19)+('01_Inputs'!$C$20)))))+((((('01_Inputs'!$C$5)*('01_Inputs'!$C$10)))*((('01_Inputs'!$C$14)*('01_Inputs'!$C$13)))*('01_Inputs'!$C$16)))+(0))/(('01_Inputs'!$C$34)*('02_HW'!$C$7))*('02_HW'!$C$10))</x:f>
        <x:v>0.00917504</x:v>
      </x:c>
      <x:c r="Q10" s="66" t="n">
        <x:f>(MAX((((IF(('01_Inputs'!$C$21)&gt;1,1,0)))*(0)/(('01_Inputs'!$C$33)*('02_HW'!$C$6))*('02_HW'!$C$10)),(((IF(('01_Inputs'!$C$21)&gt;1,1,0)))*(((IF(('01_Inputs'!$C$21)=1,0,('01_Inputs'!$C$5)*('01_Inputs'!$C$10)*('01_Inputs'!$C$14)*('01_Inputs'!$C$21)*(('01_Inputs'!$C$13)*('01_Inputs'!$C$19)+('01_Inputs'!$C$20)))))+((((('01_Inputs'!$C$5)*('01_Inputs'!$C$10)))*((('01_Inputs'!$C$14)*('01_Inputs'!$C$13)))*('01_Inputs'!$C$16)))+(0))/(('01_Inputs'!$C$34)*('02_HW'!$C$7))*('02_HW'!$C$10)))+((IF(('01_Inputs'!$C$21)&gt;1,1,0)))*('02_HW'!$C$9)*('02_HW'!$C$10))</x:f>
        <x:v>0.00917504</x:v>
      </x:c>
      <x:c r="R10" s="21" t="str">
        <x:f>IF(O10&gt;P10,"compute",IF(P10&gt;O10,"memory","balanced"))</x:f>
        <x:v>memory</x:v>
      </x:c>
      <x:c r="S10" s="24" t="str">
        <x:v>Optional split-local reduction.</x:v>
      </x:c>
    </x:row>
    <x:row r="11">
      <x:c r="A11" s="21" t="n">
        <x:f>ROW()-5</x:f>
        <x:v>6</x:v>
      </x:c>
      <x:c r="B11" s="21" t="str">
        <x:v>decode</x:v>
      </x:c>
      <x:c r="C11" s="21" t="str">
        <x:v>attention</x:v>
      </x:c>
      <x:c r="D11" s="21" t="str">
        <x:v>output_projection</x:v>
      </x:c>
      <x:c r="E11" s="24" t="str">
        <x:v>2NDqD</x:v>
      </x:c>
      <x:c r="F11" s="66" t="n">
        <x:f>1</x:f>
        <x:v>1</x:v>
      </x:c>
      <x:c r="G11" s="69" t="n">
        <x:f>(2*((('01_Inputs'!$C$5)*('01_Inputs'!$C$10)))*((('01_Inputs'!$C$14)*('01_Inputs'!$C$13)))*('01_Inputs'!$C$12))</x:f>
        <x:v>4294967296</x:v>
      </x:c>
      <x:c r="H11" s="69" t="n">
        <x:f>(((('01_Inputs'!$C$5)*('01_Inputs'!$C$10)))*((('01_Inputs'!$C$14)*('01_Inputs'!$C$13)))*('01_Inputs'!$C$16)+((('01_Inputs'!$C$14)*('01_Inputs'!$C$13)))*('01_Inputs'!$C$12)*('01_Inputs'!$C$17))</x:f>
        <x:v>67371008</x:v>
      </x:c>
      <x:c r="I11" s="69" t="n">
        <x:f>0</x:f>
        <x:v>0</x:v>
      </x:c>
      <x:c r="J11" s="69" t="n">
        <x:f>(((('01_Inputs'!$C$5)*('01_Inputs'!$C$10)))*('01_Inputs'!$C$12)*('01_Inputs'!$C$16))</x:f>
        <x:v>262144</x:v>
      </x:c>
      <x:c r="K11" s="69" t="n">
        <x:f>(1)*((((('01_Inputs'!$C$5)*('01_Inputs'!$C$10)))*((('01_Inputs'!$C$14)*('01_Inputs'!$C$13)))*('01_Inputs'!$C$16)+((('01_Inputs'!$C$14)*('01_Inputs'!$C$13)))*('01_Inputs'!$C$12)*('01_Inputs'!$C$17)))</x:f>
        <x:v>67371008</x:v>
      </x:c>
      <x:c r="L11" s="69" t="n">
        <x:f>(1)*((0)+((((('01_Inputs'!$C$5)*('01_Inputs'!$C$10)))*('01_Inputs'!$C$12)*('01_Inputs'!$C$16))))</x:f>
        <x:v>262144</x:v>
      </x:c>
      <x:c r="M11" s="69" t="n">
        <x:f>0</x:f>
        <x:v>0</x:v>
      </x:c>
      <x:c r="N11" s="66" t="n">
        <x:f>IF(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)=0,"",((1)*((2*((('01_Inputs'!$C$5)*('01_Inputs'!$C$10)))*((('01_Inputs'!$C$14)*('01_Inputs'!$C$13)))*('01_Inputs'!$C$12))))/(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)))</x:f>
        <x:v>63.50387596899225</x:v>
      </x:c>
      <x:c r="O11" s="66" t="n">
        <x:f>((1)*((2*((('01_Inputs'!$C$5)*('01_Inputs'!$C$10)))*((('01_Inputs'!$C$14)*('01_Inputs'!$C$13)))*('01_Inputs'!$C$12)))/(('01_Inputs'!$C$33)*('02_HW'!$C$6))*('02_HW'!$C$10))</x:f>
        <x:v>0.000930855504117902</x:v>
      </x:c>
      <x:c r="P11" s="66" t="n">
        <x:f>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</x:f>
        <x:v>0.009139615135135136</x:v>
      </x:c>
      <x:c r="Q11" s="66" t="n">
        <x:f>(MAX(((1)*((2*((('01_Inputs'!$C$5)*('01_Inputs'!$C$10)))*((('01_Inputs'!$C$14)*('01_Inputs'!$C$13)))*('01_Inputs'!$C$12)))/(('01_Inputs'!$C$33)*('02_HW'!$C$6))*('02_HW'!$C$10)),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R11" s="21" t="str">
        <x:f>IF(O11&gt;P11,"compute",IF(P11&gt;O11,"memory","balanced"))</x:f>
        <x:v>memory</x:v>
      </x:c>
      <x:c r="S11" s="24" t="str">
        <x:v>Projects attention output to model width.</x:v>
      </x:c>
    </x:row>
    <x:row r="12">
      <x:c r="A12" s="21" t="n">
        <x:f>ROW()-5</x:f>
        <x:v>7</x:v>
      </x:c>
      <x:c r="B12" s="21" t="str">
        <x:v>decode</x:v>
      </x:c>
      <x:c r="C12" s="21" t="str">
        <x:v>moe</x:v>
      </x:c>
      <x:c r="D12" s="21" t="str">
        <x:v>moe_router</x:v>
      </x:c>
      <x:c r="E12" s="24" t="str">
        <x:v>2NDE + crouterNE</x:v>
      </x:c>
      <x:c r="F12" s="66" t="n">
        <x:f>1</x:f>
        <x:v>1</x:v>
      </x:c>
      <x:c r="G12" s="69" t="n">
        <x:f>(2*((('01_Inputs'!$C$5)*('01_Inputs'!$C$10)))*('01_Inputs'!$C$12)*('01_Inputs'!$C$25)+('01_Inputs'!$C$29)*((('01_Inputs'!$C$5)*('01_Inputs'!$C$10)))*('01_Inputs'!$C$25))</x:f>
        <x:v>67112960</x:v>
      </x:c>
      <x:c r="H12" s="69" t="n">
        <x:f>(((((('01_Inputs'!$C$5)*('01_Inputs'!$C$10)))*('01_Inputs'!$C$12)*('01_Inputs'!$C$16)))+('01_Inputs'!$C$12)*('01_Inputs'!$C$25)*('01_Inputs'!$C$17))</x:f>
        <x:v>1310720</x:v>
      </x:c>
      <x:c r="I12" s="69" t="n">
        <x:f>0</x:f>
        <x:v>0</x:v>
      </x:c>
      <x:c r="J12" s="69" t="n">
        <x:f>(((('01_Inputs'!$C$5)*('01_Inputs'!$C$10)))*('01_Inputs'!$C$26)*('01_Inputs'!$C$30))</x:f>
        <x:v>256</x:v>
      </x:c>
      <x:c r="K12" s="69" t="n">
        <x:f>(1)*((((((('01_Inputs'!$C$5)*('01_Inputs'!$C$10)))*('01_Inputs'!$C$12)*('01_Inputs'!$C$16)))+('01_Inputs'!$C$12)*('01_Inputs'!$C$25)*('01_Inputs'!$C$17)))</x:f>
        <x:v>1310720</x:v>
      </x:c>
      <x:c r="L12" s="69" t="n">
        <x:f>(1)*((0)+((((('01_Inputs'!$C$5)*('01_Inputs'!$C$10)))*('01_Inputs'!$C$26)*('01_Inputs'!$C$30))))</x:f>
        <x:v>256</x:v>
      </x:c>
      <x:c r="M12" s="69" t="n">
        <x:f>0</x:f>
        <x:v>0</x:v>
      </x:c>
      <x:c r="N12" s="66" t="n">
        <x:f>IF(((1)*(((((((('01_Inputs'!$C$5)*('01_Inputs'!$C$10)))*('01_Inputs'!$C$12)*('01_Inputs'!$C$16)))+('01_Inputs'!$C$12)*('01_Inputs'!$C$25)*('01_Inputs'!$C$17)))+(0)+((((('01_Inputs'!$C$5)*('01_Inputs'!$C$10)))*('01_Inputs'!$C$26)*('01_Inputs'!$C$30)))))=0,"",((1)*((2*((('01_Inputs'!$C$5)*('01_Inputs'!$C$10)))*('01_Inputs'!$C$12)*('01_Inputs'!$C$25)+('01_Inputs'!$C$29)*((('01_Inputs'!$C$5)*('01_Inputs'!$C$10)))*('01_Inputs'!$C$25))))/(((1)*(((((((('01_Inputs'!$C$5)*('01_Inputs'!$C$10)))*('01_Inputs'!$C$12)*('01_Inputs'!$C$16)))+('01_Inputs'!$C$12)*('01_Inputs'!$C$25)*('01_Inputs'!$C$17)))+(0)+((((('01_Inputs'!$C$5)*('01_Inputs'!$C$10)))*('01_Inputs'!$C$26)*('01_Inputs'!$C$30)))))))</x:f>
        <x:v>51.19312634251123</x:v>
      </x:c>
      <x:c r="O12" s="66" t="n">
        <x:f>((1)*((2*((('01_Inputs'!$C$5)*('01_Inputs'!$C$10)))*('01_Inputs'!$C$12)*('01_Inputs'!$C$25)+('01_Inputs'!$C$29)*((('01_Inputs'!$C$5)*('01_Inputs'!$C$10)))*('01_Inputs'!$C$25)))/(('01_Inputs'!$C$33)*('02_HW'!$C$6))*('02_HW'!$C$10))</x:f>
        <x:v>0.000014545504984828783</x:v>
      </x:c>
      <x:c r="P12" s="66" t="n">
        <x:f>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</x:f>
        <x:v>0.00017715891891891892</x:v>
      </x:c>
      <x:c r="Q12" s="66" t="n">
        <x:f>(MAX(((1)*((2*((('01_Inputs'!$C$5)*('01_Inputs'!$C$10)))*('01_Inputs'!$C$12)*('01_Inputs'!$C$25)+('01_Inputs'!$C$29)*((('01_Inputs'!$C$5)*('01_Inputs'!$C$10)))*('01_Inputs'!$C$25)))/(('01_Inputs'!$C$33)*('02_HW'!$C$6))*('02_HW'!$C$10)),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)+(1)*('02_HW'!$C$9)*('02_HW'!$C$10))</x:f>
        <x:v>0.00017715891891891892</x:v>
      </x:c>
      <x:c r="R12" s="21" t="str">
        <x:f>IF(O12&gt;P12,"compute",IF(P12&gt;O12,"memory","balanced"))</x:f>
        <x:v>memory</x:v>
      </x:c>
      <x:c r="S12" s="24" t="str">
        <x:v>Router GEMM plus selection cost.</x:v>
      </x:c>
    </x:row>
    <x:row r="13">
      <x:c r="A13" s="21" t="n">
        <x:f>ROW()-5</x:f>
        <x:v>8</x:v>
      </x:c>
      <x:c r="B13" s="21" t="str">
        <x:v>decode</x:v>
      </x:c>
      <x:c r="C13" s="21" t="str">
        <x:v>moe</x:v>
      </x:c>
      <x:c r="D13" s="21" t="str">
        <x:v>moe_dispatch</x:v>
      </x:c>
      <x:c r="E13" s="24" t="str">
        <x:v>materialize top-k routes</x:v>
      </x:c>
      <x:c r="F13" s="66" t="n">
        <x:f>1</x:f>
        <x:v>1</x:v>
      </x:c>
      <x:c r="G13" s="69" t="n">
        <x:f>0</x:f>
        <x:v>0</x:v>
      </x:c>
      <x:c r="H13" s="69" t="n">
        <x:f>(((((('01_Inputs'!$C$5)*('01_Inputs'!$C$10)))*('01_Inputs'!$C$12)*('01_Inputs'!$C$16)))+((((('01_Inputs'!$C$5)*('01_Inputs'!$C$10)))*('01_Inputs'!$C$26)*('01_Inputs'!$C$30))))</x:f>
        <x:v>262400</x:v>
      </x:c>
      <x:c r="I13" s="69" t="n">
        <x:f>0</x:f>
        <x:v>0</x:v>
      </x:c>
      <x:c r="J13" s="69" t="n">
        <x:f>(((('01_Inputs'!$C$5)*('01_Inputs'!$C$10)))*('01_Inputs'!$C$26)*('01_Inputs'!$C$12)*('01_Inputs'!$C$16))</x:f>
        <x:v>262144</x:v>
      </x:c>
      <x:c r="K13" s="69" t="n">
        <x:f>(1)*((((((('01_Inputs'!$C$5)*('01_Inputs'!$C$10)))*('01_Inputs'!$C$12)*('01_Inputs'!$C$16)))+((((('01_Inputs'!$C$5)*('01_Inputs'!$C$10)))*('01_Inputs'!$C$26)*('01_Inputs'!$C$30)))))</x:f>
        <x:v>262400</x:v>
      </x:c>
      <x:c r="L13" s="69" t="n">
        <x:f>(1)*((0)+((((('01_Inputs'!$C$5)*('01_Inputs'!$C$10)))*('01_Inputs'!$C$26)*('01_Inputs'!$C$12)*('01_Inputs'!$C$16))))</x:f>
        <x:v>262144</x:v>
      </x:c>
      <x:c r="M13" s="69" t="n">
        <x:f>0</x:f>
        <x:v>0</x:v>
      </x:c>
      <x:c r="N13" s="66" t="n">
        <x:f>IF(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)=0,"",((1)*(0))/(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)))</x:f>
        <x:v>0</x:v>
      </x:c>
      <x:c r="O13" s="66" t="n">
        <x:f>((1)*(0)/(('01_Inputs'!$C$33)*('02_HW'!$C$6))*('02_HW'!$C$10))</x:f>
        <x:v>0</x:v>
      </x:c>
      <x:c r="P13" s="66" t="n">
        <x:f>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</x:f>
        <x:v>0.00007088432432432432</x:v>
      </x:c>
      <x:c r="Q13" s="66" t="n">
        <x:f>(MAX(((1)*(0)/(('01_Inputs'!$C$33)*('02_HW'!$C$6))*('02_HW'!$C$10)),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)+(1)*('02_HW'!$C$9)*('02_HW'!$C$10))</x:f>
        <x:v>0.00007088432432432432</x:v>
      </x:c>
      <x:c r="R13" s="21" t="str">
        <x:f>IF(O13&gt;P13,"compute",IF(P13&gt;O13,"memory","balanced"))</x:f>
        <x:v>memory</x:v>
      </x:c>
      <x:c r="S13" s="24" t="str">
        <x:v>Dispatch traffic kept visible.</x:v>
      </x:c>
    </x:row>
    <x:row r="14">
      <x:c r="A14" s="21" t="n">
        <x:f>ROW()-5</x:f>
        <x:v>9</x:v>
      </x:c>
      <x:c r="B14" s="21" t="str">
        <x:v>decode</x:v>
      </x:c>
      <x:c r="C14" s="21" t="str">
        <x:v>moe</x:v>
      </x:c>
      <x:c r="D14" s="21" t="str">
        <x:v>expert_up_projection</x:v>
      </x:c>
      <x:c r="E14" s="24" t="str">
        <x:v>2NrDF</x:v>
      </x:c>
      <x:c r="F14" s="66" t="n">
        <x:f>1</x:f>
        <x:v>1</x:v>
      </x:c>
      <x:c r="G14" s="69" t="n">
        <x:f>(2*((('01_Inputs'!$C$5)*('01_Inputs'!$C$10)))*('01_Inputs'!$C$26)*('01_Inputs'!$C$12)*('01_Inputs'!$C$27))</x:f>
        <x:v>8589934592</x:v>
      </x:c>
      <x:c r="H14" s="69" t="n">
        <x:f>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</x:f>
        <x:v>3813563872.4488354</x:v>
      </x:c>
      <x:c r="I14" s="69" t="n">
        <x:f>0</x:f>
        <x:v>0</x:v>
      </x:c>
      <x:c r="J14" s="69" t="n">
        <x:f>(IF(('01_Inputs'!$C$36)=1,0,((((('01_Inputs'!$C$5)*('01_Inputs'!$C$10)))*('01_Inputs'!$C$26)*('01_Inputs'!$C$27)*('01_Inputs'!$C$16)))))</x:f>
        <x:v>524288</x:v>
      </x:c>
      <x:c r="K14" s="69" t="n">
        <x:f>(1)*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</x:f>
        <x:v>3813563872.4488354</x:v>
      </x:c>
      <x:c r="L14" s="69" t="n">
        <x:f>(1)*((0)+((IF(('01_Inputs'!$C$36)=1,0,((((('01_Inputs'!$C$5)*('01_Inputs'!$C$10)))*('01_Inputs'!$C$26)*('01_Inputs'!$C$27)*('01_Inputs'!$C$16)))))))</x:f>
        <x:v>524288</x:v>
      </x:c>
      <x:c r="M14" s="69" t="n">
        <x:f>0</x:f>
        <x:v>0</x:v>
      </x:c>
      <x:c r="N14" s="66" t="n">
        <x:f>IF(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)=0,"",((1)*((2*((('01_Inputs'!$C$5)*('01_Inputs'!$C$10)))*('01_Inputs'!$C$26)*('01_Inputs'!$C$12)*('01_Inputs'!$C$27))))/(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)))</x:f>
        <x:v>2.252159423338854</x:v>
      </x:c>
      <x:c r="O14" s="66" t="n">
        <x:f>((1)*((2*((('01_Inputs'!$C$5)*('01_Inputs'!$C$10)))*('01_Inputs'!$C$26)*('01_Inputs'!$C$12)*('01_Inputs'!$C$27)))/(('01_Inputs'!$C$33)*('02_HW'!$C$6))*('02_HW'!$C$10))</x:f>
        <x:v>0.001861711008235804</x:v>
      </x:c>
      <x:c r="P14" s="66" t="n">
        <x:f>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</x:f>
        <x:v>0.5154173189795723</x:v>
      </x:c>
      <x:c r="Q14" s="66" t="n">
        <x:f>(MAX(((1)*((2*((('01_Inputs'!$C$5)*('01_Inputs'!$C$10)))*('01_Inputs'!$C$26)*('01_Inputs'!$C$12)*('01_Inputs'!$C$27)))/(('01_Inputs'!$C$33)*('02_HW'!$C$6))*('02_HW'!$C$10)),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R14" s="21" t="str">
        <x:f>IF(O14&gt;P14,"compute",IF(P14&gt;O14,"memory","balanced"))</x:f>
        <x:v>memory</x:v>
      </x:c>
      <x:c r="S14" s="24" t="str">
        <x:v>Expected active-expert weight read.</x:v>
      </x:c>
    </x:row>
    <x:row r="15">
      <x:c r="A15" s="21" t="n">
        <x:f>ROW()-5</x:f>
        <x:v>10</x:v>
      </x:c>
      <x:c r="B15" s="21" t="str">
        <x:v>decode</x:v>
      </x:c>
      <x:c r="C15" s="21" t="str">
        <x:v>moe</x:v>
      </x:c>
      <x:c r="D15" s="21" t="str">
        <x:v>expert_gate_projection</x:v>
      </x:c>
      <x:c r="E15" s="24" t="str">
        <x:v>2NrDF</x:v>
      </x:c>
      <x:c r="F15" s="66" t="n">
        <x:f>1</x:f>
        <x:v>1</x:v>
      </x:c>
      <x:c r="G15" s="69" t="n">
        <x:f>(2*((('01_Inputs'!$C$5)*('01_Inputs'!$C$10)))*('01_Inputs'!$C$26)*('01_Inputs'!$C$12)*('01_Inputs'!$C$27))</x:f>
        <x:v>8589934592</x:v>
      </x:c>
      <x:c r="H15" s="69" t="n">
        <x:f>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</x:f>
        <x:v>3813563872.4488354</x:v>
      </x:c>
      <x:c r="I15" s="69" t="n">
        <x:f>0</x:f>
        <x:v>0</x:v>
      </x:c>
      <x:c r="J15" s="69" t="n">
        <x:f>(IF(('01_Inputs'!$C$36)=1,0,((((('01_Inputs'!$C$5)*('01_Inputs'!$C$10)))*('01_Inputs'!$C$26)*('01_Inputs'!$C$27)*('01_Inputs'!$C$16)))))</x:f>
        <x:v>524288</x:v>
      </x:c>
      <x:c r="K15" s="69" t="n">
        <x:f>(1)*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</x:f>
        <x:v>3813563872.4488354</x:v>
      </x:c>
      <x:c r="L15" s="69" t="n">
        <x:f>(1)*((0)+((IF(('01_Inputs'!$C$36)=1,0,((((('01_Inputs'!$C$5)*('01_Inputs'!$C$10)))*('01_Inputs'!$C$26)*('01_Inputs'!$C$27)*('01_Inputs'!$C$16)))))))</x:f>
        <x:v>524288</x:v>
      </x:c>
      <x:c r="M15" s="69" t="n">
        <x:f>0</x:f>
        <x:v>0</x:v>
      </x:c>
      <x:c r="N15" s="66" t="n">
        <x:f>IF(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)=0,"",((1)*((2*((('01_Inputs'!$C$5)*('01_Inputs'!$C$10)))*('01_Inputs'!$C$26)*('01_Inputs'!$C$12)*('01_Inputs'!$C$27))))/(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)))</x:f>
        <x:v>2.252159423338854</x:v>
      </x:c>
      <x:c r="O15" s="66" t="n">
        <x:f>((1)*((2*((('01_Inputs'!$C$5)*('01_Inputs'!$C$10)))*('01_Inputs'!$C$26)*('01_Inputs'!$C$12)*('01_Inputs'!$C$27)))/(('01_Inputs'!$C$33)*('02_HW'!$C$6))*('02_HW'!$C$10))</x:f>
        <x:v>0.001861711008235804</x:v>
      </x:c>
      <x:c r="P15" s="66" t="n">
        <x:f>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</x:f>
        <x:v>0.5154173189795723</x:v>
      </x:c>
      <x:c r="Q15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R15" s="21" t="str">
        <x:f>IF(O15&gt;P15,"compute",IF(P15&gt;O15,"memory","balanced"))</x:f>
        <x:v>memory</x:v>
      </x:c>
      <x:c r="S15" s="24" t="str">
        <x:v>SwiGLU gate matrix.</x:v>
      </x:c>
    </x:row>
    <x:row r="16">
      <x:c r="A16" s="21" t="n">
        <x:f>ROW()-5</x:f>
        <x:v>11</x:v>
      </x:c>
      <x:c r="B16" s="21" t="str">
        <x:v>decode</x:v>
      </x:c>
      <x:c r="C16" s="21" t="str">
        <x:v>moe</x:v>
      </x:c>
      <x:c r="D16" s="21" t="str">
        <x:v>expert_swiglu_activation</x:v>
      </x:c>
      <x:c r="E16" s="24" t="str">
        <x:v>NrF cactivation</x:v>
      </x:c>
      <x:c r="F16" s="66" t="n">
        <x:f>1</x:f>
        <x:v>1</x:v>
      </x:c>
      <x:c r="G16" s="69" t="n">
        <x:f>(((('01_Inputs'!$C$5)*('01_Inputs'!$C$10)))*('01_Inputs'!$C$26)*('01_Inputs'!$C$27)*('01_Inputs'!$C$35))</x:f>
        <x:v>2097152</x:v>
      </x:c>
      <x:c r="H16" s="69" t="n">
        <x:f>(IF(('01_Inputs'!$C$36)=1,0,(2*((((('01_Inputs'!$C$5)*('01_Inputs'!$C$10)))*('01_Inputs'!$C$26)*('01_Inputs'!$C$27)*('01_Inputs'!$C$16))))))</x:f>
        <x:v>1048576</x:v>
      </x:c>
      <x:c r="I16" s="69" t="n">
        <x:f>0</x:f>
        <x:v>0</x:v>
      </x:c>
      <x:c r="J16" s="69" t="n">
        <x:f>(IF(('01_Inputs'!$C$36)=1,0,((((('01_Inputs'!$C$5)*('01_Inputs'!$C$10)))*('01_Inputs'!$C$26)*('01_Inputs'!$C$27)*('01_Inputs'!$C$16)))))</x:f>
        <x:v>524288</x:v>
      </x:c>
      <x:c r="K16" s="69" t="n">
        <x:f>(1)*((IF(('01_Inputs'!$C$36)=1,0,(2*((((('01_Inputs'!$C$5)*('01_Inputs'!$C$10)))*('01_Inputs'!$C$26)*('01_Inputs'!$C$27)*('01_Inputs'!$C$16)))))))</x:f>
        <x:v>1048576</x:v>
      </x:c>
      <x:c r="L16" s="69" t="n">
        <x:f>(1)*((0)+((IF(('01_Inputs'!$C$36)=1,0,((((('01_Inputs'!$C$5)*('01_Inputs'!$C$10)))*('01_Inputs'!$C$26)*('01_Inputs'!$C$27)*('01_Inputs'!$C$16)))))))</x:f>
        <x:v>524288</x:v>
      </x:c>
      <x:c r="M16" s="69" t="n">
        <x:f>0</x:f>
        <x:v>0</x:v>
      </x:c>
      <x:c r="N16" s="66" t="n">
        <x:f>IF(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)=0,"",((1)*((((('01_Inputs'!$C$5)*('01_Inputs'!$C$10)))*('01_Inputs'!$C$26)*('01_Inputs'!$C$27)*('01_Inputs'!$C$35))))/(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)))</x:f>
        <x:v>1.3333333333333333</x:v>
      </x:c>
      <x:c r="O16" s="66" t="n">
        <x:f>((1)*((((('01_Inputs'!$C$5)*('01_Inputs'!$C$10)))*('01_Inputs'!$C$26)*('01_Inputs'!$C$27)*('01_Inputs'!$C$35)))/(('01_Inputs'!$C$33)*('02_HW'!$C$6))*('02_HW'!$C$10))</x:f>
        <x:v>4.5451928912006934e-7</x:v>
      </x:c>
      <x:c r="P16" s="66" t="n">
        <x:f>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</x:f>
        <x:v>0.0002125491891891892</x:v>
      </x:c>
      <x:c r="Q16" s="66" t="n">
        <x:f>(MAX(((1)*((((('01_Inputs'!$C$5)*('01_Inputs'!$C$10)))*('01_Inputs'!$C$26)*('01_Inputs'!$C$27)*('01_Inputs'!$C$35)))/(('01_Inputs'!$C$33)*('02_HW'!$C$6))*('02_HW'!$C$10)),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0.0002125491891891892</x:v>
      </x:c>
      <x:c r="R16" s="21" t="str">
        <x:f>IF(O16&gt;P16,"compute",IF(P16&gt;O16,"memory","balanced"))</x:f>
        <x:v>memory</x:v>
      </x:c>
      <x:c r="S16" s="24" t="str">
        <x:v>Elementwise traffic vanishes only under fusion.</x:v>
      </x:c>
    </x:row>
    <x:row r="17">
      <x:c r="A17" s="21" t="n">
        <x:f>ROW()-5</x:f>
        <x:v>12</x:v>
      </x:c>
      <x:c r="B17" s="21" t="str">
        <x:v>decode</x:v>
      </x:c>
      <x:c r="C17" s="21" t="str">
        <x:v>moe</x:v>
      </x:c>
      <x:c r="D17" s="21" t="str">
        <x:v>expert_down_projection</x:v>
      </x:c>
      <x:c r="E17" s="24" t="str">
        <x:v>2NrDF</x:v>
      </x:c>
      <x:c r="F17" s="66" t="n">
        <x:f>1</x:f>
        <x:v>1</x:v>
      </x:c>
      <x:c r="G17" s="69" t="n">
        <x:f>(2*((('01_Inputs'!$C$5)*('01_Inputs'!$C$10)))*('01_Inputs'!$C$26)*('01_Inputs'!$C$12)*('01_Inputs'!$C$27))</x:f>
        <x:v>8589934592</x:v>
      </x:c>
      <x:c r="H17" s="69" t="n">
        <x:f>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</x:f>
        <x:v>3813826016.4488354</x:v>
      </x:c>
      <x:c r="I17" s="69" t="n">
        <x:f>0</x:f>
        <x:v>0</x:v>
      </x:c>
      <x:c r="J17" s="69" t="n">
        <x:f>(((('01_Inputs'!$C$5)*('01_Inputs'!$C$10)))*('01_Inputs'!$C$26)*('01_Inputs'!$C$12)*('01_Inputs'!$C$16))</x:f>
        <x:v>262144</x:v>
      </x:c>
      <x:c r="K17" s="69" t="n">
        <x:f>(1)*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</x:f>
        <x:v>3813826016.4488354</x:v>
      </x:c>
      <x:c r="L17" s="69" t="n">
        <x:f>(1)*((0)+((((('01_Inputs'!$C$5)*('01_Inputs'!$C$10)))*('01_Inputs'!$C$26)*('01_Inputs'!$C$12)*('01_Inputs'!$C$16))))</x:f>
        <x:v>262144</x:v>
      </x:c>
      <x:c r="M17" s="69" t="n">
        <x:f>0</x:f>
        <x:v>0</x:v>
      </x:c>
      <x:c r="N17" s="66" t="n">
        <x:f>IF(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)=0,"",((1)*((2*((('01_Inputs'!$C$5)*('01_Inputs'!$C$10)))*('01_Inputs'!$C$26)*('01_Inputs'!$C$12)*('01_Inputs'!$C$27))))/(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)))</x:f>
        <x:v>2.252159423338854</x:v>
      </x:c>
      <x:c r="O17" s="66" t="n">
        <x:f>((1)*((2*((('01_Inputs'!$C$5)*('01_Inputs'!$C$10)))*('01_Inputs'!$C$26)*('01_Inputs'!$C$12)*('01_Inputs'!$C$27)))/(('01_Inputs'!$C$33)*('02_HW'!$C$6))*('02_HW'!$C$10))</x:f>
        <x:v>0.001861711008235804</x:v>
      </x:c>
      <x:c r="P17" s="66" t="n">
        <x:f>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</x:f>
        <x:v>0.5154173189795723</x:v>
      </x:c>
      <x:c r="Q17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)+(1)*('02_HW'!$C$9)*('02_HW'!$C$10))</x:f>
        <x:v>0.5154173189795723</x:v>
      </x:c>
      <x:c r="R17" s="21" t="str">
        <x:f>IF(O17&gt;P17,"compute",IF(P17&gt;O17,"memory","balanced"))</x:f>
        <x:v>memory</x:v>
      </x:c>
      <x:c r="S17" s="24" t="str">
        <x:v>Down matrix plus routed output.</x:v>
      </x:c>
    </x:row>
    <x:row r="18">
      <x:c r="A18" s="22" t="n">
        <x:f>ROW()-5</x:f>
        <x:v>13</x:v>
      </x:c>
      <x:c r="B18" s="22" t="str">
        <x:v>decode</x:v>
      </x:c>
      <x:c r="C18" s="22" t="str">
        <x:v>moe</x:v>
      </x:c>
      <x:c r="D18" s="22" t="str">
        <x:v>moe_combine</x:v>
      </x:c>
      <x:c r="E18" s="25" t="str">
        <x:v>combine top-k outputs</x:v>
      </x:c>
      <x:c r="F18" s="67" t="n">
        <x:f>1</x:f>
        <x:v>1</x:v>
      </x:c>
      <x:c r="G18" s="70" t="n">
        <x:f>0</x:f>
        <x:v>0</x:v>
      </x:c>
      <x:c r="H18" s="70" t="n">
        <x:f>(((('01_Inputs'!$C$5)*('01_Inputs'!$C$10)))*('01_Inputs'!$C$26)*('01_Inputs'!$C$12)*('01_Inputs'!$C$16))</x:f>
        <x:v>262144</x:v>
      </x:c>
      <x:c r="I18" s="70" t="n">
        <x:f>(((('01_Inputs'!$C$5)*('01_Inputs'!$C$10)))*('01_Inputs'!$C$12)*('01_Inputs'!$C$16))</x:f>
        <x:v>262144</x:v>
      </x:c>
      <x:c r="J18" s="70" t="n">
        <x:f>0</x:f>
        <x:v>0</x:v>
      </x:c>
      <x:c r="K18" s="70" t="n">
        <x:f>(1)*((((('01_Inputs'!$C$5)*('01_Inputs'!$C$10)))*('01_Inputs'!$C$26)*('01_Inputs'!$C$12)*('01_Inputs'!$C$16)))</x:f>
        <x:v>262144</x:v>
      </x:c>
      <x:c r="L18" s="70" t="n">
        <x:f>(1)*(((((('01_Inputs'!$C$5)*('01_Inputs'!$C$10)))*('01_Inputs'!$C$12)*('01_Inputs'!$C$16)))+(0))</x:f>
        <x:v>262144</x:v>
      </x:c>
      <x:c r="M18" s="70" t="n">
        <x:f>0</x:f>
        <x:v>0</x:v>
      </x:c>
      <x:c r="N18" s="67" t="n">
        <x:f>IF(((1)*(((((('01_Inputs'!$C$5)*('01_Inputs'!$C$10)))*('01_Inputs'!$C$26)*('01_Inputs'!$C$12)*('01_Inputs'!$C$16)))+((((('01_Inputs'!$C$5)*('01_Inputs'!$C$10)))*('01_Inputs'!$C$12)*('01_Inputs'!$C$16)))+(0)))=0,"",((1)*(0))/(((1)*(((((('01_Inputs'!$C$5)*('01_Inputs'!$C$10)))*('01_Inputs'!$C$26)*('01_Inputs'!$C$12)*('01_Inputs'!$C$16)))+((((('01_Inputs'!$C$5)*('01_Inputs'!$C$10)))*('01_Inputs'!$C$12)*('01_Inputs'!$C$16)))+(0)))))</x:f>
        <x:v>0</x:v>
      </x:c>
      <x:c r="O18" s="67" t="n">
        <x:f>((1)*(0)/(('01_Inputs'!$C$33)*('02_HW'!$C$6))*('02_HW'!$C$10))</x:f>
        <x:v>0</x:v>
      </x:c>
      <x:c r="P18" s="67" t="n">
        <x:f>((1)*(((((('01_Inputs'!$C$5)*('01_Inputs'!$C$10)))*('01_Inputs'!$C$26)*('01_Inputs'!$C$12)*('01_Inputs'!$C$16)))+((((('01_Inputs'!$C$5)*('01_Inputs'!$C$10)))*('01_Inputs'!$C$12)*('01_Inputs'!$C$16)))+(0))/(('01_Inputs'!$C$34)*('02_HW'!$C$7))*('02_HW'!$C$10))</x:f>
        <x:v>0.00007084972972972974</x:v>
      </x:c>
      <x:c r="Q18" s="67" t="n">
        <x:f>(MAX(((1)*(0)/(('01_Inputs'!$C$33)*('02_HW'!$C$6))*('02_HW'!$C$10)),((1)*(((((('01_Inputs'!$C$5)*('01_Inputs'!$C$10)))*('01_Inputs'!$C$26)*('01_Inputs'!$C$12)*('01_Inputs'!$C$16)))+((((('01_Inputs'!$C$5)*('01_Inputs'!$C$10)))*('01_Inputs'!$C$12)*('01_Inputs'!$C$16)))+(0))/(('01_Inputs'!$C$34)*('02_HW'!$C$7))*('02_HW'!$C$10)))+(1)*('02_HW'!$C$9)*('02_HW'!$C$10))</x:f>
        <x:v>0.00007084972972972974</x:v>
      </x:c>
      <x:c r="R18" s="22" t="str">
        <x:f>IF(O18&gt;P18,"compute",IF(P18&gt;O18,"memory","balanced"))</x:f>
        <x:v>memory</x:v>
      </x:c>
      <x:c r="S18" s="25" t="str">
        <x:v>Mandatory block-output write.</x:v>
      </x:c>
    </x:row>
  </x:sheetData>
  <x:mergeCells>
    <x:mergeCell ref="A1:S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27" hidden="0" customWidth="1"/>
    <x:col min="5" max="5" width="31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18" hidden="0" customWidth="1"/>
    <x:col min="14" max="14" width="12" hidden="0" customWidth="1"/>
    <x:col min="15" max="15" width="13" hidden="0" customWidth="1"/>
    <x:col min="16" max="16" width="13" hidden="0" customWidth="1"/>
    <x:col min="17" max="17" width="13" hidden="0" customWidth="1"/>
    <x:col min="18" max="18" width="12" hidden="0" customWidth="1"/>
    <x:col min="19" max="19" width="42" hidden="0" customWidth="1"/>
  </x:cols>
  <x:sheetData>
    <x:row r="1" ht="28" customHeight="1">
      <x:c r="A1" s="3" t="str">
        <x:v>20 · HOPE prefill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58" t="str">
        <x:v>Total FLOPs</x:v>
      </x:c>
      <x:c r="B2" s="59" t="str">
        <x:v>HBM read B</x:v>
      </x:c>
      <x:c r="C2" s="59" t="str">
        <x:v>HBM write B</x:v>
      </x:c>
      <x:c r="D2" s="59" t="str">
        <x:v>HBM total B</x:v>
      </x:c>
      <x:c r="E2" s="59" t="str">
        <x:v>Persistent state B</x:v>
      </x:c>
      <x:c r="F2" s="59" t="str">
        <x:v>AI FLOP/B</x:v>
      </x:c>
      <x:c r="G2" s="59" t="str">
        <x:v>Aggregate compute ms</x:v>
      </x:c>
      <x:c r="H2" s="59" t="str">
        <x:v>Aggregate HBM ms</x:v>
      </x:c>
      <x:c r="I2" s="59" t="str">
        <x:v>Aggregate latency ms</x:v>
      </x:c>
      <x:c r="J2" s="59" t="str">
        <x:v>Stagewise latency ms</x:v>
      </x:c>
      <x:c r="K2" s="59" t="str">
        <x:v>Bound</x:v>
      </x:c>
      <x:c r="L2" s="59" t="str">
        <x:v>HBM fit</x:v>
      </x:c>
      <x:c r="M2" s="59" t="str">
        <x:v>Ridge AI</x:v>
      </x:c>
      <x:c r="N2" s="60" t="str">
        <x:v>Ridge class</x:v>
      </x:c>
      <x:c r="O2" s="71"/>
      <x:c r="P2" s="71"/>
      <x:c r="Q2" s="71"/>
      <x:c r="R2" s="71"/>
      <x:c r="S2" s="71"/>
    </x:row>
    <x:row r="3">
      <x:c r="A3" s="63" t="n">
        <x:f>SUM(G6:G41)</x:f>
        <x:v>308817305272320</x:v>
      </x:c>
      <x:c r="B3" s="63" t="n">
        <x:f>SUM(K6:K41)</x:f>
        <x:v>156431941632</x:v>
      </x:c>
      <x:c r="C3" s="63" t="n">
        <x:f>SUM(L6:L41)</x:f>
        <x:v>177723932672</x:v>
      </x:c>
      <x:c r="D3" s="63" t="n">
        <x:f>SUM(K6:L41)</x:f>
        <x:v>334155874304</x:v>
      </x:c>
      <x:c r="E3" s="63" t="n">
        <x:f>SUM(M6:M41)</x:f>
        <x:v>101051793408</x:v>
      </x:c>
      <x:c r="F3" s="64" t="n">
        <x:f>IF(SUM(K6:L41)=0,"",SUM(G6:G41)/SUM(K6:L41))</x:f>
        <x:v>924.1714092728231</x:v>
      </x:c>
      <x:c r="G3" s="64" t="n">
        <x:f>SUM(O6:O41)</x:f>
        <x:v>66.93049529092329</x:v>
      </x:c>
      <x:c r="H3" s="64" t="n">
        <x:f>SUM(P6:P41)</x:f>
        <x:v>45.156199230270275</x:v>
      </x:c>
      <x:c r="I3" s="64" t="n">
        <x:f>MAX(SUM(O6:O41),SUM(P6:P41))</x:f>
        <x:v>66.93049529092329</x:v>
      </x:c>
      <x:c r="J3" s="64" t="n">
        <x:f>SUM(Q6:Q41)</x:f>
        <x:v>87.76370645169284</x:v>
      </x:c>
      <x:c r="K3" s="62" t="str">
        <x:f>IF(SUM(O6:O41)&gt;SUM(P6:P41),"compute",IF(SUM(P6:P41)&gt;SUM(O6:O41),"memory","balanced"))</x:f>
        <x:v>compute</x:v>
      </x:c>
      <x:c r="L3" s="62" t="str">
        <x:f>IF(SUM(M6:M41)&lt;='02_HW'!$C$8,"FIT","EXCEEDS")</x:f>
        <x:v>EXCEEDS</x:v>
      </x:c>
      <x:c r="M3" s="64" t="n">
        <x:f>'02_HW'!$C$6/'02_HW'!$C$7</x:f>
        <x:v>623.5135135135135</x:v>
      </x:c>
      <x:c r="N3" s="62" t="str">
        <x:f>IF(F3&gt;=M3,"compute-side","memory-side")</x:f>
        <x:v>compute-side</x:v>
      </x:c>
      <x:c r="O3" s="72"/>
      <x:c r="P3" s="72"/>
      <x:c r="Q3" s="72"/>
      <x:c r="R3" s="72"/>
      <x:c r="S3" s="72"/>
    </x:row>
    <x:row r="5" ht="34" customHeight="1">
      <x:c r="A5" s="14" t="str">
        <x:v>Order</x:v>
      </x:c>
      <x:c r="B5" s="28" t="str">
        <x:v>Phase</x:v>
      </x:c>
      <x:c r="C5" s="28" t="str">
        <x:v>Component</x:v>
      </x:c>
      <x:c r="D5" s="28" t="str">
        <x:v>Stage</x:v>
      </x:c>
      <x:c r="E5" s="28" t="str">
        <x:v>Symbolic equation</x:v>
      </x:c>
      <x:c r="F5" s="28" t="str">
        <x:v>Executions/cadence</x:v>
      </x:c>
      <x:c r="G5" s="28" t="str">
        <x:v>FLOPs</x:v>
      </x:c>
      <x:c r="H5" s="28" t="str">
        <x:v>Required read B</x:v>
      </x:c>
      <x:c r="I5" s="28" t="str">
        <x:v>Mandatory write B</x:v>
      </x:c>
      <x:c r="J5" s="28" t="str">
        <x:v>Temporary/fusible write B</x:v>
      </x:c>
      <x:c r="K5" s="28" t="str">
        <x:v>Effective read B</x:v>
      </x:c>
      <x:c r="L5" s="28" t="str">
        <x:v>Effective write B</x:v>
      </x:c>
      <x:c r="M5" s="28" t="str">
        <x:v>Persistent state B</x:v>
      </x:c>
      <x:c r="N5" s="28" t="str">
        <x:v>AI</x:v>
      </x:c>
      <x:c r="O5" s="28" t="str">
        <x:v>Compute ms</x:v>
      </x:c>
      <x:c r="P5" s="28" t="str">
        <x:v>HBM ms</x:v>
      </x:c>
      <x:c r="Q5" s="28" t="str">
        <x:v>Roofline ms</x:v>
      </x:c>
      <x:c r="R5" s="28" t="str">
        <x:v>Bound</x:v>
      </x:c>
      <x:c r="S5" s="15" t="str">
        <x:v>Evidence/assumption</x:v>
      </x:c>
    </x:row>
    <x:row r="6">
      <x:c r="A6" s="20" t="n">
        <x:f>ROW()-5</x:f>
        <x:v>1</x:v>
      </x:c>
      <x:c r="B6" s="20" t="str">
        <x:v>prefill</x:v>
      </x:c>
      <x:c r="C6" s="20" t="str">
        <x:v>titans_forward</x:v>
      </x:c>
      <x:c r="D6" s="20" t="str">
        <x:v>static_q_projection</x:v>
      </x:c>
      <x:c r="E6" s="23" t="str">
        <x:v>2ND²</x:v>
      </x:c>
      <x:c r="F6" s="65" t="n">
        <x:f>1</x:f>
        <x:v>1</x:v>
      </x:c>
      <x:c r="G6" s="68" t="n">
        <x:f>(2*((('01_Inputs'!$C$5)*('01_Inputs'!$C$8)))*('01_Inputs'!$C$12)*('01_Inputs'!$C$12))</x:f>
        <x:v>8796093022208</x:v>
      </x:c>
      <x:c r="H6" s="68" t="n">
        <x:f>(((((('01_Inputs'!$C$5)*('01_Inputs'!$C$8)))*('01_Inputs'!$C$12)*('01_Inputs'!$C$16)))+('01_Inputs'!$C$12)*('01_Inputs'!$C$12)*('01_Inputs'!$C$17))</x:f>
        <x:v>603979776</x:v>
      </x:c>
      <x:c r="I6" s="68" t="n">
        <x:f>0</x:f>
        <x:v>0</x:v>
      </x:c>
      <x:c r="J6" s="68" t="n">
        <x:f>(((('01_Inputs'!$C$5)*('01_Inputs'!$C$8)))*('01_Inputs'!$C$12)*('01_Inputs'!$C$16))</x:f>
        <x:v>536870912</x:v>
      </x:c>
      <x:c r="K6" s="68" t="n">
        <x:f>(1)*((((((('01_Inputs'!$C$5)*('01_Inputs'!$C$8)))*('01_Inputs'!$C$12)*('01_Inputs'!$C$16)))+('01_Inputs'!$C$12)*('01_Inputs'!$C$12)*('01_Inputs'!$C$17)))</x:f>
        <x:v>603979776</x:v>
      </x:c>
      <x:c r="L6" s="68" t="n">
        <x:f>(1)*((0)+((((('01_Inputs'!$C$5)*('01_Inputs'!$C$8)))*('01_Inputs'!$C$12)*('01_Inputs'!$C$16))))</x:f>
        <x:v>536870912</x:v>
      </x:c>
      <x:c r="M6" s="68" t="n">
        <x:f>(('01_Inputs'!$C$5)*('01_Inputs'!$C$41))</x:f>
        <x:v>0</x:v>
      </x:c>
      <x:c r="N6" s="65" t="n">
        <x:f>IF(((1)*(((((((('01_Inputs'!$C$5)*('01_Inputs'!$C$8)))*('01_Inputs'!$C$12)*('01_Inputs'!$C$16)))+('01_Inputs'!$C$12)*('01_Inputs'!$C$12)*('01_Inputs'!$C$17)))+(0)+((((('01_Inputs'!$C$5)*('01_Inputs'!$C$8)))*('01_Inputs'!$C$12)*('01_Inputs'!$C$16)))))=0,"",((1)*((2*((('01_Inputs'!$C$5)*('01_Inputs'!$C$8)))*('01_Inputs'!$C$12)*('01_Inputs'!$C$12))))/(((1)*(((((((('01_Inputs'!$C$5)*('01_Inputs'!$C$8)))*('01_Inputs'!$C$12)*('01_Inputs'!$C$16)))+('01_Inputs'!$C$12)*('01_Inputs'!$C$12)*('01_Inputs'!$C$17)))+(0)+((((('01_Inputs'!$C$5)*('01_Inputs'!$C$8)))*('01_Inputs'!$C$12)*('01_Inputs'!$C$16)))))))</x:f>
        <x:v>7710.117647058823</x:v>
      </x:c>
      <x:c r="O6" s="65" t="n">
        <x:f>((1)*((2*((('01_Inputs'!$C$5)*('01_Inputs'!$C$8)))*('01_Inputs'!$C$12)*('01_Inputs'!$C$12)))/(('01_Inputs'!$C$33)*('02_HW'!$C$6))*('02_HW'!$C$10))</x:f>
        <x:v>1.9063920724334633</x:v>
      </x:c>
      <x:c r="P6" s="65" t="n">
        <x:f>((1)*(((((((('01_Inputs'!$C$5)*('01_Inputs'!$C$8)))*('01_Inputs'!$C$12)*('01_Inputs'!$C$16)))+('01_Inputs'!$C$12)*('01_Inputs'!$C$12)*('01_Inputs'!$C$17)))+(0)+((((('01_Inputs'!$C$5)*('01_Inputs'!$C$8)))*('01_Inputs'!$C$12)*('01_Inputs'!$C$16))))/(('01_Inputs'!$C$34)*('02_HW'!$C$7))*('02_HW'!$C$10))</x:f>
        <x:v>0.1541690118918919</x:v>
      </x:c>
      <x:c r="Q6" s="65" t="n">
        <x:f>(MAX(((1)*((2*((('01_Inputs'!$C$5)*('01_Inputs'!$C$8)))*('01_Inputs'!$C$12)*('01_Inputs'!$C$12)))/(('01_Inputs'!$C$33)*('02_HW'!$C$6))*('02_HW'!$C$10)),((1)*(((((((('01_Inputs'!$C$5)*('01_Inputs'!$C$8)))*('01_Inputs'!$C$12)*('01_Inputs'!$C$16)))+('01_Inputs'!$C$12)*('01_Inputs'!$C$12)*('01_Inputs'!$C$17)))+(0)+((((('01_Inputs'!$C$5)*('01_Inputs'!$C$8)))*('01_Inputs'!$C$12)*('01_Inputs'!$C$16))))/(('01_Inputs'!$C$34)*('02_HW'!$C$7))*('02_HW'!$C$10)))+(1)*('02_HW'!$C$9)*('02_HW'!$C$10))</x:f>
        <x:v>1.9063920724334633</x:v>
      </x:c>
      <x:c r="R6" s="20" t="str">
        <x:f>IF(O6&gt;P6,"compute",IF(P6&gt;O6,"memory","balanced"))</x:f>
        <x:v>compute</x:v>
      </x:c>
      <x:c r="S6" s="23" t="str">
        <x:v>Shipped path: static q=xWq; Wq is not mutable state.</x:v>
      </x:c>
    </x:row>
    <x:row r="7">
      <x:c r="A7" s="21" t="n">
        <x:f>ROW()-5</x:f>
        <x:v>2</x:v>
      </x:c>
      <x:c r="B7" s="21" t="str">
        <x:v>prefill</x:v>
      </x:c>
      <x:c r="C7" s="21" t="str">
        <x:v>titans_forward</x:v>
      </x:c>
      <x:c r="D7" s="21" t="str">
        <x:v>M_mem_forward</x:v>
      </x:c>
      <x:c r="E7" s="24" t="str">
        <x:v>2NP + nonlinear terms</x:v>
      </x:c>
      <x:c r="F7" s="66" t="n">
        <x:f>1</x:f>
        <x:v>1</x:v>
      </x:c>
      <x:c r="G7" s="69" t="n">
        <x:f>(2*((('01_Inputs'!$C$5)*('01_Inputs'!$C$8)))*((('01_Inputs'!$B$52)*('01_Inputs'!$C$52)+('01_Inputs'!$C$52)*('01_Inputs'!$D$52)))+((('01_Inputs'!$C$5)*('01_Inputs'!$C$8)))*(('01_Inputs'!$C$39)*('01_Inputs'!$C$52)+('01_Inputs'!$C$40)*('01_Inputs'!$D$52)))</x:f>
        <x:v>17594870398976</x:v>
      </x:c>
      <x:c r="H7" s="69" t="n">
        <x:f>(((((('01_Inputs'!$C$5)*('01_Inputs'!$C$8)))*('01_Inputs'!$B$52)*('01_Inputs'!$C$16)))+('01_Inputs'!$C$5)*((('01_Inputs'!$B$52)*('01_Inputs'!$C$52)+('01_Inputs'!$C$52)*('01_Inputs'!$D$52)))*('01_Inputs'!$C$37)*('01_Inputs'!$H$52))</x:f>
        <x:v>4831838208</x:v>
      </x:c>
      <x:c r="I7" s="69" t="n">
        <x:f>0</x:f>
        <x:v>0</x:v>
      </x:c>
      <x:c r="J7" s="69" t="n">
        <x:f>(((('01_Inputs'!$C$5)*('01_Inputs'!$C$8)))*('01_Inputs'!$D$52)*('01_Inputs'!$C$16))</x:f>
        <x:v>536870912</x:v>
      </x:c>
      <x:c r="K7" s="69" t="n">
        <x:f>(1)*((((((('01_Inputs'!$C$5)*('01_Inputs'!$C$8)))*('01_Inputs'!$B$52)*('01_Inputs'!$C$16)))+('01_Inputs'!$C$5)*((('01_Inputs'!$B$52)*('01_Inputs'!$C$52)+('01_Inputs'!$C$52)*('01_Inputs'!$D$52)))*('01_Inputs'!$C$37)*('01_Inputs'!$H$52)))</x:f>
        <x:v>4831838208</x:v>
      </x:c>
      <x:c r="L7" s="69" t="n">
        <x:f>(1)*((0)+((((('01_Inputs'!$C$5)*('01_Inputs'!$C$8)))*('01_Inputs'!$D$52)*('01_Inputs'!$C$16))))</x:f>
        <x:v>536870912</x:v>
      </x:c>
      <x:c r="M7" s="69" t="n">
        <x:f>(('01_Inputs'!$C$5)*((('01_Inputs'!$B$52)*('01_Inputs'!$C$52)+('01_Inputs'!$C$52)*('01_Inputs'!$D$52)))*(('01_Inputs'!$C$37)+('01_Inputs'!$F$52)*('01_Inputs'!$C$38)))</x:f>
        <x:v>21474836480</x:v>
      </x:c>
      <x:c r="N7" s="66" t="n">
        <x:f>IF(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)=0,"",((1)*((2*((('01_Inputs'!$C$5)*('01_Inputs'!$C$8)))*((('01_Inputs'!$B$52)*('01_Inputs'!$C$52)+('01_Inputs'!$C$52)*('01_Inputs'!$D$52)))+((('01_Inputs'!$C$5)*('01_Inputs'!$C$8)))*(('01_Inputs'!$C$39)*('01_Inputs'!$C$52)+('01_Inputs'!$C$40)*('01_Inputs'!$D$52)))))/(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)))</x:f>
        <x:v>3277.3</x:v>
      </x:c>
      <x:c r="O7" s="66" t="n">
        <x:f>((1)*((2*((('01_Inputs'!$C$5)*('01_Inputs'!$C$8)))*((('01_Inputs'!$B$52)*('01_Inputs'!$C$52)+('01_Inputs'!$C$52)*('01_Inputs'!$D$52)))+((('01_Inputs'!$C$5)*('01_Inputs'!$C$8)))*(('01_Inputs'!$C$39)*('01_Inputs'!$C$52)+('01_Inputs'!$C$40)*('01_Inputs'!$D$52))))/(('01_Inputs'!$C$33)*('02_HW'!$C$6))*('02_HW'!$C$10))</x:f>
        <x:v>3.8133659295570004</x:v>
      </x:c>
      <x:c r="P7" s="66" t="n">
        <x:f>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/(('01_Inputs'!$C$34)*('02_HW'!$C$7))*('02_HW'!$C$10))</x:f>
        <x:v>0.7255012324324324</x:v>
      </x:c>
      <x:c r="Q7" s="66" t="n">
        <x:f>(MAX(((1)*((2*((('01_Inputs'!$C$5)*('01_Inputs'!$C$8)))*((('01_Inputs'!$B$52)*('01_Inputs'!$C$52)+('01_Inputs'!$C$52)*('01_Inputs'!$D$52)))+((('01_Inputs'!$C$5)*('01_Inputs'!$C$8)))*(('01_Inputs'!$C$39)*('01_Inputs'!$C$52)+('01_Inputs'!$C$40)*('01_Inputs'!$D$52))))/(('01_Inputs'!$C$33)*('02_HW'!$C$6))*('02_HW'!$C$10)),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/(('01_Inputs'!$C$34)*('02_HW'!$C$7))*('02_HW'!$C$10)))+(1)*('02_HW'!$C$9)*('02_HW'!$C$10))</x:f>
        <x:v>3.8133659295570004</x:v>
      </x:c>
      <x:c r="R7" s="21" t="str">
        <x:f>IF(O7&gt;P7,"compute",IF(P7&gt;O7,"memory","balanced"))</x:f>
        <x:v>compute</x:v>
      </x:c>
      <x:c r="S7" s="24" t="str">
        <x:v>Actual shipped main-memory forward after static Wq.</x:v>
      </x:c>
    </x:row>
    <x:row r="8">
      <x:c r="A8" s="21" t="n">
        <x:f>ROW()-5</x:f>
        <x:v>3</x:v>
      </x:c>
      <x:c r="B8" s="21" t="str">
        <x:v>prefill</x:v>
      </x:c>
      <x:c r="C8" s="21" t="str">
        <x:v>cms_forward</x:v>
      </x:c>
      <x:c r="D8" s="21" t="str">
        <x:v>cms_l1_router</x:v>
      </x:c>
      <x:c r="E8" s="24" t="str">
        <x:v>2ND·C + crouterN·C</x:v>
      </x:c>
      <x:c r="F8" s="66" t="n">
        <x:f>1</x:f>
        <x:v>1</x:v>
      </x:c>
      <x:c r="G8" s="69" t="n">
        <x:f>(2*((('01_Inputs'!$C$5)*('01_Inputs'!$C$8)))*('01_Inputs'!$B$57)*('01_Inputs'!$D$57)+('01_Inputs'!$G$57)*((('01_Inputs'!$C$5)*('01_Inputs'!$C$8)))*('01_Inputs'!$D$57))</x:f>
        <x:v>68723671040</x:v>
      </x:c>
      <x:c r="H8" s="69" t="n">
        <x:f>(((('01_Inputs'!$C$5)*('01_Inputs'!$C$8)))*('01_Inputs'!$B$57)*('01_Inputs'!$C$16)+((IF(('01_Inputs'!$K$57)=1,('01_Inputs'!$C$5),1)))*((('01_Inputs'!$B$57)*('01_Inputs'!$D$57)))*('01_Inputs'!$C$37))</x:f>
        <x:v>553648128</x:v>
      </x:c>
      <x:c r="I8" s="69" t="n">
        <x:f>0</x:f>
        <x:v>0</x:v>
      </x:c>
      <x:c r="J8" s="69" t="n">
        <x:f>(((('01_Inputs'!$C$5)*('01_Inputs'!$C$8)))*('01_Inputs'!$F$57)*('01_Inputs'!$M$57))</x:f>
        <x:v>524288</x:v>
      </x:c>
      <x:c r="K8" s="69" t="n">
        <x:f>(1)*((((('01_Inputs'!$C$5)*('01_Inputs'!$C$8)))*('01_Inputs'!$B$57)*('01_Inputs'!$C$16)+((IF(('01_Inputs'!$K$57)=1,('01_Inputs'!$C$5),1)))*((('01_Inputs'!$B$57)*('01_Inputs'!$D$57)))*('01_Inputs'!$C$37)))</x:f>
        <x:v>553648128</x:v>
      </x:c>
      <x:c r="L8" s="69" t="n">
        <x:f>(1)*((0)+((((('01_Inputs'!$C$5)*('01_Inputs'!$C$8)))*('01_Inputs'!$F$57)*('01_Inputs'!$M$57))))</x:f>
        <x:v>524288</x:v>
      </x:c>
      <x:c r="M8" s="69" t="n">
        <x:f>(((IF(('01_Inputs'!$K$57)=1,('01_Inputs'!$C$5),1)))*((((('01_Inputs'!$B$57)*('01_Inputs'!$D$57)))+('01_Inputs'!$D$57)*(((('01_Inputs'!$B$57)*('01_Inputs'!$E$57)))+((('01_Inputs'!$E$57)*('01_Inputs'!$C$57))))))*(('01_Inputs'!$C$37)+('01_Inputs'!$J$57)*('01_Inputs'!$C$38)))</x:f>
        <x:v>2164260864</x:v>
      </x:c>
      <x:c r="N8" s="66" t="n">
        <x:f>IF(((1)*(((((('01_Inputs'!$C$5)*('01_Inputs'!$C$8)))*('01_Inputs'!$B$57)*('01_Inputs'!$C$16)+((IF(('01_Inputs'!$K$57)=1,('01_Inputs'!$C$5),1)))*((('01_Inputs'!$B$57)*('01_Inputs'!$D$57)))*('01_Inputs'!$C$37)))+(0)+((((('01_Inputs'!$C$5)*('01_Inputs'!$C$8)))*('01_Inputs'!$F$57)*('01_Inputs'!$M$57)))))=0,"",((1)*((2*((('01_Inputs'!$C$5)*('01_Inputs'!$C$8)))*('01_Inputs'!$B$57)*('01_Inputs'!$D$57)+('01_Inputs'!$G$57)*((('01_Inputs'!$C$5)*('01_Inputs'!$C$8)))*('01_Inputs'!$D$57))))/(((1)*(((((('01_Inputs'!$C$5)*('01_Inputs'!$C$8)))*('01_Inputs'!$B$57)*('01_Inputs'!$C$16)+((IF(('01_Inputs'!$K$57)=1,('01_Inputs'!$C$5),1)))*((('01_Inputs'!$B$57)*('01_Inputs'!$D$57)))*('01_Inputs'!$C$37)))+(0)+((((('01_Inputs'!$C$5)*('01_Inputs'!$C$8)))*('01_Inputs'!$F$57)*('01_Inputs'!$M$57)))))))</x:f>
        <x:v>124.01135288552507</x:v>
      </x:c>
      <x:c r="O8" s="66" t="n">
        <x:f>((1)*((2*((('01_Inputs'!$C$5)*('01_Inputs'!$C$8)))*('01_Inputs'!$B$57)*('01_Inputs'!$D$57)+('01_Inputs'!$G$57)*((('01_Inputs'!$C$5)*('01_Inputs'!$C$8)))*('01_Inputs'!$D$57)))/(('01_Inputs'!$C$33)*('02_HW'!$C$6))*('02_HW'!$C$10))</x:f>
        <x:v>0.014894597104464674</x:v>
      </x:c>
      <x:c r="P8" s="66" t="n">
        <x:f>((1)*(((((('01_Inputs'!$C$5)*('01_Inputs'!$C$8)))*('01_Inputs'!$B$57)*('01_Inputs'!$C$16)+((IF(('01_Inputs'!$K$57)=1,('01_Inputs'!$C$5),1)))*((('01_Inputs'!$B$57)*('01_Inputs'!$D$57)))*('01_Inputs'!$C$37)))+(0)+((((('01_Inputs'!$C$5)*('01_Inputs'!$C$8)))*('01_Inputs'!$F$57)*('01_Inputs'!$M$57))))/(('01_Inputs'!$C$34)*('02_HW'!$C$7))*('02_HW'!$C$10))</x:f>
        <x:v>0.07488816432432432</x:v>
      </x:c>
      <x:c r="Q8" s="66" t="n">
        <x:f>(MAX(((1)*((2*((('01_Inputs'!$C$5)*('01_Inputs'!$C$8)))*('01_Inputs'!$B$57)*('01_Inputs'!$D$57)+('01_Inputs'!$G$57)*((('01_Inputs'!$C$5)*('01_Inputs'!$C$8)))*('01_Inputs'!$D$57)))/(('01_Inputs'!$C$33)*('02_HW'!$C$6))*('02_HW'!$C$10)),((1)*(((((('01_Inputs'!$C$5)*('01_Inputs'!$C$8)))*('01_Inputs'!$B$57)*('01_Inputs'!$C$16)+((IF(('01_Inputs'!$K$57)=1,('01_Inputs'!$C$5),1)))*((('01_Inputs'!$B$57)*('01_Inputs'!$D$57)))*('01_Inputs'!$C$37)))+(0)+((((('01_Inputs'!$C$5)*('01_Inputs'!$C$8)))*('01_Inputs'!$F$57)*('01_Inputs'!$M$57))))/(('01_Inputs'!$C$34)*('02_HW'!$C$7))*('02_HW'!$C$10)))+(1)*('02_HW'!$C$9)*('02_HW'!$C$10))</x:f>
        <x:v>0.07488816432432432</x:v>
      </x:c>
      <x:c r="R8" s="21" t="str">
        <x:f>IF(O8&gt;P8,"compute",IF(P8&gt;O8,"memory","balanced"))</x:f>
        <x:v>memory</x:v>
      </x:c>
      <x:c r="S8" s="24" t="str">
        <x:v>Router compute is dense in capacity; capacity remains a residency dimension.</x:v>
      </x:c>
    </x:row>
    <x:row r="9">
      <x:c r="A9" s="21" t="n">
        <x:f>ROW()-5</x:f>
        <x:v>4</x:v>
      </x:c>
      <x:c r="B9" s="21" t="str">
        <x:v>prefill</x:v>
      </x:c>
      <x:c r="C9" s="21" t="str">
        <x:v>cms_forward</x:v>
      </x:c>
      <x:c r="D9" s="21" t="str">
        <x:v>cms_l1_expert_a</x:v>
      </x:c>
      <x:c r="E9" s="24" t="str">
        <x:v>2N·topk·D·R</x:v>
      </x:c>
      <x:c r="F9" s="66" t="n">
        <x:f>1</x:f>
        <x:v>1</x:v>
      </x:c>
      <x:c r="G9" s="69" t="n">
        <x:f>(2*((('01_Inputs'!$C$5)*('01_Inputs'!$C$8)))*('01_Inputs'!$F$57)*('01_Inputs'!$B$57)*('01_Inputs'!$E$57))</x:f>
        <x:v>68719476736</x:v>
      </x:c>
      <x:c r="H9" s="69" t="n">
        <x:f>(((('01_Inputs'!$C$5)*('01_Inputs'!$C$8)))*('01_Inputs'!$B$57)*('01_Inputs'!$C$16)+((((('01_Inputs'!$C$5)*('01_Inputs'!$C$8)))*('01_Inputs'!$F$57)*('01_Inputs'!$M$57)))+((IF(('01_Inputs'!$K$57)=1,('01_Inputs'!$C$5),1)))*((MIN(('01_Inputs'!$D$57),IF(('01_Inputs'!$K$57)=1,('01_Inputs'!$C$8)*('01_Inputs'!$F$57),((('01_Inputs'!$C$5)*('01_Inputs'!$C$8)))*('01_Inputs'!$F$57)))))*((('01_Inputs'!$B$57)*('01_Inputs'!$E$57)))*('01_Inputs'!$C$37))</x:f>
        <x:v>1611137024</x:v>
      </x:c>
      <x:c r="I9" s="69" t="n">
        <x:f>0</x:f>
        <x:v>0</x:v>
      </x:c>
      <x:c r="J9" s="69" t="n">
        <x:f>(((('01_Inputs'!$C$5)*('01_Inputs'!$C$8)))*('01_Inputs'!$F$57)*('01_Inputs'!$E$57)*('01_Inputs'!$C$16))</x:f>
        <x:v>4194304</x:v>
      </x:c>
      <x:c r="K9" s="69" t="n">
        <x:f>(1)*((((('01_Inputs'!$C$5)*('01_Inputs'!$C$8)))*('01_Inputs'!$B$57)*('01_Inputs'!$C$16)+((((('01_Inputs'!$C$5)*('01_Inputs'!$C$8)))*('01_Inputs'!$F$57)*('01_Inputs'!$M$57)))+((IF(('01_Inputs'!$K$57)=1,('01_Inputs'!$C$5),1)))*((MIN(('01_Inputs'!$D$57),IF(('01_Inputs'!$K$57)=1,('01_Inputs'!$C$8)*('01_Inputs'!$F$57),((('01_Inputs'!$C$5)*('01_Inputs'!$C$8)))*('01_Inputs'!$F$57)))))*((('01_Inputs'!$B$57)*('01_Inputs'!$E$57)))*('01_Inputs'!$C$37)))</x:f>
        <x:v>1611137024</x:v>
      </x:c>
      <x:c r="L9" s="69" t="n">
        <x:f>(1)*((0)+((((('01_Inputs'!$C$5)*('01_Inputs'!$C$8)))*('01_Inputs'!$F$57)*('01_Inputs'!$E$57)*('01_Inputs'!$C$16))))</x:f>
        <x:v>4194304</x:v>
      </x:c>
      <x:c r="M9" s="69" t="n">
        <x:f>0</x:f>
        <x:v>0</x:v>
      </x:c>
      <x:c r="N9" s="66" t="n">
        <x:f>IF(((1)*(((((('01_Inputs'!$C$5)*('01_Inputs'!$C$8)))*('01_Inputs'!$B$57)*('01_Inputs'!$C$16)+((((('01_Inputs'!$C$5)*('01_Inputs'!$C$8)))*('01_Inputs'!$F$57)*('01_Inputs'!$M$57)))+((IF(('01_Inputs'!$K$57)=1,('01_Inputs'!$C$5),1)))*((MIN(('01_Inputs'!$D$57),IF(('01_Inputs'!$K$57)=1,('01_Inputs'!$C$8)*('01_Inputs'!$F$57),((('01_Inputs'!$C$5)*('01_Inputs'!$C$8)))*('01_Inputs'!$F$57)))))*((('01_Inputs'!$B$57)*('01_Inputs'!$E$57)))*('01_Inputs'!$C$37)))+(0)+((((('01_Inputs'!$C$5)*('01_Inputs'!$C$8)))*('01_Inputs'!$F$57)*('01_Inputs'!$E$57)*('01_Inputs'!$C$16)))))=0,"",((1)*((2*((('01_Inputs'!$C$5)*('01_Inputs'!$C$8)))*('01_Inputs'!$F$57)*('01_Inputs'!$B$57)*('01_Inputs'!$E$57))))/(((1)*(((((('01_Inputs'!$C$5)*('01_Inputs'!$C$8)))*('01_Inputs'!$B$57)*('01_Inputs'!$C$16)+((((('01_Inputs'!$C$5)*('01_Inputs'!$C$8)))*('01_Inputs'!$F$57)*('01_Inputs'!$M$57)))+((IF(('01_Inputs'!$K$57)=1,('01_Inputs'!$C$5),1)))*((MIN(('01_Inputs'!$D$57),IF(('01_Inputs'!$K$57)=1,('01_Inputs'!$C$8)*('01_Inputs'!$F$57),((('01_Inputs'!$C$5)*('01_Inputs'!$C$8)))*('01_Inputs'!$F$57)))))*((('01_Inputs'!$B$57)*('01_Inputs'!$E$57)))*('01_Inputs'!$C$37)))+(0)+((((('01_Inputs'!$C$5)*('01_Inputs'!$C$8)))*('01_Inputs'!$F$57)*('01_Inputs'!$E$57)*('01_Inputs'!$C$16)))))))</x:f>
        <x:v>42.54203180785459</x:v>
      </x:c>
      <x:c r="O9" s="66" t="n">
        <x:f>((1)*((2*((('01_Inputs'!$C$5)*('01_Inputs'!$C$8)))*('01_Inputs'!$F$57)*('01_Inputs'!$B$57)*('01_Inputs'!$E$57)))/(('01_Inputs'!$C$33)*('02_HW'!$C$6))*('02_HW'!$C$10))</x:f>
        <x:v>0.014893688065886432</x:v>
      </x:c>
      <x:c r="P9" s="66" t="n">
        <x:f>((1)*(((((('01_Inputs'!$C$5)*('01_Inputs'!$C$8)))*('01_Inputs'!$B$57)*('01_Inputs'!$C$16)+((((('01_Inputs'!$C$5)*('01_Inputs'!$C$8)))*('01_Inputs'!$F$57)*('01_Inputs'!$M$57)))+((IF(('01_Inputs'!$K$57)=1,('01_Inputs'!$C$5),1)))*((MIN(('01_Inputs'!$D$57),IF(('01_Inputs'!$K$57)=1,('01_Inputs'!$C$8)*('01_Inputs'!$F$57),((('01_Inputs'!$C$5)*('01_Inputs'!$C$8)))*('01_Inputs'!$F$57)))))*((('01_Inputs'!$B$57)*('01_Inputs'!$E$57)))*('01_Inputs'!$C$37)))+(0)+((((('01_Inputs'!$C$5)*('01_Inputs'!$C$8)))*('01_Inputs'!$F$57)*('01_Inputs'!$E$57)*('01_Inputs'!$C$16))))/(('01_Inputs'!$C$34)*('02_HW'!$C$7))*('02_HW'!$C$10))</x:f>
        <x:v>0.2182880172972973</x:v>
      </x:c>
      <x:c r="Q9" s="66" t="n">
        <x:f>(MAX(((1)*((2*((('01_Inputs'!$C$5)*('01_Inputs'!$C$8)))*('01_Inputs'!$F$57)*('01_Inputs'!$B$57)*('01_Inputs'!$E$57)))/(('01_Inputs'!$C$33)*('02_HW'!$C$6))*('02_HW'!$C$10)),((1)*(((((('01_Inputs'!$C$5)*('01_Inputs'!$C$8)))*('01_Inputs'!$B$57)*('01_Inputs'!$C$16)+((((('01_Inputs'!$C$5)*('01_Inputs'!$C$8)))*('01_Inputs'!$F$57)*('01_Inputs'!$M$57)))+((IF(('01_Inputs'!$K$57)=1,('01_Inputs'!$C$5),1)))*((MIN(('01_Inputs'!$D$57),IF(('01_Inputs'!$K$57)=1,('01_Inputs'!$C$8)*('01_Inputs'!$F$57),((('01_Inputs'!$C$5)*('01_Inputs'!$C$8)))*('01_Inputs'!$F$57)))))*((('01_Inputs'!$B$57)*('01_Inputs'!$E$57)))*('01_Inputs'!$C$37)))+(0)+((((('01_Inputs'!$C$5)*('01_Inputs'!$C$8)))*('01_Inputs'!$F$57)*('01_Inputs'!$E$57)*('01_Inputs'!$C$16))))/(('01_Inputs'!$C$34)*('02_HW'!$C$7))*('02_HW'!$C$10)))+(1)*('02_HW'!$C$9)*('02_HW'!$C$10))</x:f>
        <x:v>0.2182880172972973</x:v>
      </x:c>
      <x:c r="R9" s="21" t="str">
        <x:f>IF(O9&gt;P9,"compute",IF(P9&gt;O9,"memory","balanced"))</x:f>
        <x:v>memory</x:v>
      </x:c>
      <x:c r="S9" s="24" t="str">
        <x:v>HBM reads use the per-request unique-active upper bound min(C,Q·top-k).</x:v>
      </x:c>
    </x:row>
    <x:row r="10">
      <x:c r="A10" s="21" t="n">
        <x:f>ROW()-5</x:f>
        <x:v>5</x:v>
      </x:c>
      <x:c r="B10" s="21" t="str">
        <x:v>prefill</x:v>
      </x:c>
      <x:c r="C10" s="21" t="str">
        <x:v>cms_forward</x:v>
      </x:c>
      <x:c r="D10" s="21" t="str">
        <x:v>cms_l1_expert_b</x:v>
      </x:c>
      <x:c r="E10" s="24" t="str">
        <x:v>2N·topk·R·D</x:v>
      </x:c>
      <x:c r="F10" s="66" t="n">
        <x:f>1</x:f>
        <x:v>1</x:v>
      </x:c>
      <x:c r="G10" s="69" t="n">
        <x:f>(2*((('01_Inputs'!$C$5)*('01_Inputs'!$C$8)))*('01_Inputs'!$F$57)*('01_Inputs'!$E$57)*('01_Inputs'!$C$57))</x:f>
        <x:v>68719476736</x:v>
      </x:c>
      <x:c r="H10" s="69" t="n">
        <x:f>(((((('01_Inputs'!$C$5)*('01_Inputs'!$C$8)))*('01_Inputs'!$F$57)*('01_Inputs'!$E$57)*('01_Inputs'!$C$16)))+((IF(('01_Inputs'!$K$57)=1,('01_Inputs'!$C$5),1)))*((MIN(('01_Inputs'!$D$57),IF(('01_Inputs'!$K$57)=1,('01_Inputs'!$C$8)*('01_Inputs'!$F$57),((('01_Inputs'!$C$5)*('01_Inputs'!$C$8)))*('01_Inputs'!$F$57)))))*((('01_Inputs'!$E$57)*('01_Inputs'!$C$57)))*('01_Inputs'!$C$37))</x:f>
        <x:v>1077936128</x:v>
      </x:c>
      <x:c r="I10" s="69" t="n">
        <x:f>0</x:f>
        <x:v>0</x:v>
      </x:c>
      <x:c r="J10" s="69" t="n">
        <x:f>(((('01_Inputs'!$C$5)*('01_Inputs'!$C$8)))*('01_Inputs'!$C$57)*('01_Inputs'!$C$16))</x:f>
        <x:v>536870912</x:v>
      </x:c>
      <x:c r="K10" s="69" t="n">
        <x:f>(1)*((((((('01_Inputs'!$C$5)*('01_Inputs'!$C$8)))*('01_Inputs'!$F$57)*('01_Inputs'!$E$57)*('01_Inputs'!$C$16)))+((IF(('01_Inputs'!$K$57)=1,('01_Inputs'!$C$5),1)))*((MIN(('01_Inputs'!$D$57),IF(('01_Inputs'!$K$57)=1,('01_Inputs'!$C$8)*('01_Inputs'!$F$57),((('01_Inputs'!$C$5)*('01_Inputs'!$C$8)))*('01_Inputs'!$F$57)))))*((('01_Inputs'!$E$57)*('01_Inputs'!$C$57)))*('01_Inputs'!$C$37)))</x:f>
        <x:v>1077936128</x:v>
      </x:c>
      <x:c r="L10" s="69" t="n">
        <x:f>(1)*((0)+((((('01_Inputs'!$C$5)*('01_Inputs'!$C$8)))*('01_Inputs'!$C$57)*('01_Inputs'!$C$16))))</x:f>
        <x:v>536870912</x:v>
      </x:c>
      <x:c r="M10" s="69" t="n">
        <x:f>0</x:f>
        <x:v>0</x:v>
      </x:c>
      <x:c r="N10" s="66" t="n">
        <x:f>IF(((1)*(((((((('01_Inputs'!$C$5)*('01_Inputs'!$C$8)))*('01_Inputs'!$F$57)*('01_Inputs'!$E$57)*('01_Inputs'!$C$16)))+((IF(('01_Inputs'!$K$57)=1,('01_Inputs'!$C$5),1)))*((MIN(('01_Inputs'!$D$57),IF(('01_Inputs'!$K$57)=1,('01_Inputs'!$C$8)*('01_Inputs'!$F$57),((('01_Inputs'!$C$5)*('01_Inputs'!$C$8)))*('01_Inputs'!$F$57)))))*((('01_Inputs'!$E$57)*('01_Inputs'!$C$57)))*('01_Inputs'!$C$37)))+(0)+((((('01_Inputs'!$C$5)*('01_Inputs'!$C$8)))*('01_Inputs'!$C$57)*('01_Inputs'!$C$16)))))=0,"",((1)*((2*((('01_Inputs'!$C$5)*('01_Inputs'!$C$8)))*('01_Inputs'!$F$57)*('01_Inputs'!$E$57)*('01_Inputs'!$C$57))))/(((1)*(((((((('01_Inputs'!$C$5)*('01_Inputs'!$C$8)))*('01_Inputs'!$F$57)*('01_Inputs'!$E$57)*('01_Inputs'!$C$16)))+((IF(('01_Inputs'!$K$57)=1,('01_Inputs'!$C$5),1)))*((MIN(('01_Inputs'!$D$57),IF(('01_Inputs'!$K$57)=1,('01_Inputs'!$C$8)*('01_Inputs'!$F$57),((('01_Inputs'!$C$5)*('01_Inputs'!$C$8)))*('01_Inputs'!$F$57)))))*((('01_Inputs'!$E$57)*('01_Inputs'!$C$57)))*('01_Inputs'!$C$37)))+(0)+((((('01_Inputs'!$C$5)*('01_Inputs'!$C$8)))*('01_Inputs'!$C$57)*('01_Inputs'!$C$16)))))))</x:f>
        <x:v>42.555844155844156</x:v>
      </x:c>
      <x:c r="O10" s="66" t="n">
        <x:f>((1)*((2*((('01_Inputs'!$C$5)*('01_Inputs'!$C$8)))*('01_Inputs'!$F$57)*('01_Inputs'!$E$57)*('01_Inputs'!$C$57)))/(('01_Inputs'!$C$33)*('02_HW'!$C$6))*('02_HW'!$C$10))</x:f>
        <x:v>0.014893688065886432</x:v>
      </x:c>
      <x:c r="P10" s="66" t="n">
        <x:f>((1)*(((((((('01_Inputs'!$C$5)*('01_Inputs'!$C$8)))*('01_Inputs'!$F$57)*('01_Inputs'!$E$57)*('01_Inputs'!$C$16)))+((IF(('01_Inputs'!$K$57)=1,('01_Inputs'!$C$5),1)))*((MIN(('01_Inputs'!$D$57),IF(('01_Inputs'!$K$57)=1,('01_Inputs'!$C$8)*('01_Inputs'!$F$57),((('01_Inputs'!$C$5)*('01_Inputs'!$C$8)))*('01_Inputs'!$F$57)))))*((('01_Inputs'!$E$57)*('01_Inputs'!$C$57)))*('01_Inputs'!$C$37)))+(0)+((((('01_Inputs'!$C$5)*('01_Inputs'!$C$8)))*('01_Inputs'!$C$57)*('01_Inputs'!$C$16))))/(('01_Inputs'!$C$34)*('02_HW'!$C$7))*('02_HW'!$C$10))</x:f>
        <x:v>0.21821716756756757</x:v>
      </x:c>
      <x:c r="Q10" s="66" t="n">
        <x:f>(MAX(((1)*((2*((('01_Inputs'!$C$5)*('01_Inputs'!$C$8)))*('01_Inputs'!$F$57)*('01_Inputs'!$E$57)*('01_Inputs'!$C$57)))/(('01_Inputs'!$C$33)*('02_HW'!$C$6))*('02_HW'!$C$10)),((1)*(((((((('01_Inputs'!$C$5)*('01_Inputs'!$C$8)))*('01_Inputs'!$F$57)*('01_Inputs'!$E$57)*('01_Inputs'!$C$16)))+((IF(('01_Inputs'!$K$57)=1,('01_Inputs'!$C$5),1)))*((MIN(('01_Inputs'!$D$57),IF(('01_Inputs'!$K$57)=1,('01_Inputs'!$C$8)*('01_Inputs'!$F$57),((('01_Inputs'!$C$5)*('01_Inputs'!$C$8)))*('01_Inputs'!$F$57)))))*((('01_Inputs'!$E$57)*('01_Inputs'!$C$57)))*('01_Inputs'!$C$37)))+(0)+((((('01_Inputs'!$C$5)*('01_Inputs'!$C$8)))*('01_Inputs'!$C$57)*('01_Inputs'!$C$16))))/(('01_Inputs'!$C$34)*('02_HW'!$C$7))*('02_HW'!$C$10)))+(1)*('02_HW'!$C$9)*('02_HW'!$C$10))</x:f>
        <x:v>0.21821716756756757</x:v>
      </x:c>
      <x:c r="R10" s="21" t="str">
        <x:f>IF(O10&gt;P10,"compute",IF(P10&gt;O10,"memory","balanced"))</x:f>
        <x:v>memory</x:v>
      </x:c>
      <x:c r="S10" s="24" t="str">
        <x:v>Only top-k active B matrices are read; no capacity×LRD dense hidden flatten.</x:v>
      </x:c>
    </x:row>
    <x:row r="11">
      <x:c r="A11" s="21" t="n">
        <x:f>ROW()-5</x:f>
        <x:v>6</x:v>
      </x:c>
      <x:c r="B11" s="21" t="str">
        <x:v>prefill</x:v>
      </x:c>
      <x:c r="C11" s="21" t="str">
        <x:v>cms_forward</x:v>
      </x:c>
      <x:c r="D11" s="21" t="str">
        <x:v>cms_l2_router</x:v>
      </x:c>
      <x:c r="E11" s="24" t="str">
        <x:v>2ND·C + crouterN·C</x:v>
      </x:c>
      <x:c r="F11" s="66" t="n">
        <x:f>1</x:f>
        <x:v>1</x:v>
      </x:c>
      <x:c r="G11" s="69" t="n">
        <x:f>(2*((('01_Inputs'!$C$5)*('01_Inputs'!$C$8)))*('01_Inputs'!$B$58)*('01_Inputs'!$D$58)+('01_Inputs'!$G$58)*((('01_Inputs'!$C$5)*('01_Inputs'!$C$8)))*('01_Inputs'!$D$58))</x:f>
        <x:v>137447342080</x:v>
      </x:c>
      <x:c r="H11" s="69" t="n">
        <x:f>(((('01_Inputs'!$C$5)*('01_Inputs'!$C$8)))*('01_Inputs'!$B$58)*('01_Inputs'!$C$16)+((IF(('01_Inputs'!$K$58)=1,('01_Inputs'!$C$5),1)))*((('01_Inputs'!$B$58)*('01_Inputs'!$D$58)))*('01_Inputs'!$C$37))</x:f>
        <x:v>570425344</x:v>
      </x:c>
      <x:c r="I11" s="69" t="n">
        <x:f>0</x:f>
        <x:v>0</x:v>
      </x:c>
      <x:c r="J11" s="69" t="n">
        <x:f>(((('01_Inputs'!$C$5)*('01_Inputs'!$C$8)))*('01_Inputs'!$F$58)*('01_Inputs'!$M$58))</x:f>
        <x:v>524288</x:v>
      </x:c>
      <x:c r="K11" s="69" t="n">
        <x:f>(1)*((((('01_Inputs'!$C$5)*('01_Inputs'!$C$8)))*('01_Inputs'!$B$58)*('01_Inputs'!$C$16)+((IF(('01_Inputs'!$K$58)=1,('01_Inputs'!$C$5),1)))*((('01_Inputs'!$B$58)*('01_Inputs'!$D$58)))*('01_Inputs'!$C$37)))</x:f>
        <x:v>570425344</x:v>
      </x:c>
      <x:c r="L11" s="69" t="n">
        <x:f>(1)*((0)+((((('01_Inputs'!$C$5)*('01_Inputs'!$C$8)))*('01_Inputs'!$F$58)*('01_Inputs'!$M$58))))</x:f>
        <x:v>524288</x:v>
      </x:c>
      <x:c r="M11" s="69" t="n">
        <x:f>(((IF(('01_Inputs'!$K$58)=1,('01_Inputs'!$C$5),1)))*((((('01_Inputs'!$B$58)*('01_Inputs'!$D$58)))+('01_Inputs'!$D$58)*(((('01_Inputs'!$B$58)*('01_Inputs'!$E$58)))+((('01_Inputs'!$E$58)*('01_Inputs'!$C$58))))))*(('01_Inputs'!$C$37)+('01_Inputs'!$J$58)*('01_Inputs'!$C$38)))</x:f>
        <x:v>4328521728</x:v>
      </x:c>
      <x:c r="N11" s="66" t="n">
        <x:f>IF(((1)*(((((('01_Inputs'!$C$5)*('01_Inputs'!$C$8)))*('01_Inputs'!$B$58)*('01_Inputs'!$C$16)+((IF(('01_Inputs'!$K$58)=1,('01_Inputs'!$C$5),1)))*((('01_Inputs'!$B$58)*('01_Inputs'!$D$58)))*('01_Inputs'!$C$37)))+(0)+((((('01_Inputs'!$C$5)*('01_Inputs'!$C$8)))*('01_Inputs'!$F$58)*('01_Inputs'!$M$58)))))=0,"",((1)*((2*((('01_Inputs'!$C$5)*('01_Inputs'!$C$8)))*('01_Inputs'!$B$58)*('01_Inputs'!$D$58)+('01_Inputs'!$G$58)*((('01_Inputs'!$C$5)*('01_Inputs'!$C$8)))*('01_Inputs'!$D$58))))/(((1)*(((((('01_Inputs'!$C$5)*('01_Inputs'!$C$8)))*('01_Inputs'!$B$58)*('01_Inputs'!$C$16)+((IF(('01_Inputs'!$K$58)=1,('01_Inputs'!$C$5),1)))*((('01_Inputs'!$B$58)*('01_Inputs'!$D$58)))*('01_Inputs'!$C$37)))+(0)+((((('01_Inputs'!$C$5)*('01_Inputs'!$C$8)))*('01_Inputs'!$F$58)*('01_Inputs'!$M$58)))))))</x:f>
        <x:v>240.73461891643709</x:v>
      </x:c>
      <x:c r="O11" s="66" t="n">
        <x:f>((1)*((2*((('01_Inputs'!$C$5)*('01_Inputs'!$C$8)))*('01_Inputs'!$B$58)*('01_Inputs'!$D$58)+('01_Inputs'!$G$58)*((('01_Inputs'!$C$5)*('01_Inputs'!$C$8)))*('01_Inputs'!$D$58)))/(('01_Inputs'!$C$33)*('02_HW'!$C$6))*('02_HW'!$C$10))</x:f>
        <x:v>0.029789194208929348</x:v>
      </x:c>
      <x:c r="P11" s="66" t="n">
        <x:f>((1)*(((((('01_Inputs'!$C$5)*('01_Inputs'!$C$8)))*('01_Inputs'!$B$58)*('01_Inputs'!$C$16)+((IF(('01_Inputs'!$K$58)=1,('01_Inputs'!$C$5),1)))*((('01_Inputs'!$B$58)*('01_Inputs'!$D$58)))*('01_Inputs'!$C$37)))+(0)+((((('01_Inputs'!$C$5)*('01_Inputs'!$C$8)))*('01_Inputs'!$F$58)*('01_Inputs'!$M$58))))/(('01_Inputs'!$C$34)*('02_HW'!$C$7))*('02_HW'!$C$10))</x:f>
        <x:v>0.07715535567567568</x:v>
      </x:c>
      <x:c r="Q11" s="66" t="n">
        <x:f>(MAX(((1)*((2*((('01_Inputs'!$C$5)*('01_Inputs'!$C$8)))*('01_Inputs'!$B$58)*('01_Inputs'!$D$58)+('01_Inputs'!$G$58)*((('01_Inputs'!$C$5)*('01_Inputs'!$C$8)))*('01_Inputs'!$D$58)))/(('01_Inputs'!$C$33)*('02_HW'!$C$6))*('02_HW'!$C$10)),((1)*(((((('01_Inputs'!$C$5)*('01_Inputs'!$C$8)))*('01_Inputs'!$B$58)*('01_Inputs'!$C$16)+((IF(('01_Inputs'!$K$58)=1,('01_Inputs'!$C$5),1)))*((('01_Inputs'!$B$58)*('01_Inputs'!$D$58)))*('01_Inputs'!$C$37)))+(0)+((((('01_Inputs'!$C$5)*('01_Inputs'!$C$8)))*('01_Inputs'!$F$58)*('01_Inputs'!$M$58))))/(('01_Inputs'!$C$34)*('02_HW'!$C$7))*('02_HW'!$C$10)))+(1)*('02_HW'!$C$9)*('02_HW'!$C$10))</x:f>
        <x:v>0.07715535567567568</x:v>
      </x:c>
      <x:c r="R11" s="21" t="str">
        <x:f>IF(O11&gt;P11,"compute",IF(P11&gt;O11,"memory","balanced"))</x:f>
        <x:v>memory</x:v>
      </x:c>
      <x:c r="S11" s="24" t="str">
        <x:v>Router compute is dense in capacity; capacity remains a residency dimension.</x:v>
      </x:c>
    </x:row>
    <x:row r="12">
      <x:c r="A12" s="21" t="n">
        <x:f>ROW()-5</x:f>
        <x:v>7</x:v>
      </x:c>
      <x:c r="B12" s="21" t="str">
        <x:v>prefill</x:v>
      </x:c>
      <x:c r="C12" s="21" t="str">
        <x:v>cms_forward</x:v>
      </x:c>
      <x:c r="D12" s="21" t="str">
        <x:v>cms_l2_expert_a</x:v>
      </x:c>
      <x:c r="E12" s="24" t="str">
        <x:v>2N·topk·D·R</x:v>
      </x:c>
      <x:c r="F12" s="66" t="n">
        <x:f>1</x:f>
        <x:v>1</x:v>
      </x:c>
      <x:c r="G12" s="69" t="n">
        <x:f>(2*((('01_Inputs'!$C$5)*('01_Inputs'!$C$8)))*('01_Inputs'!$F$58)*('01_Inputs'!$B$58)*('01_Inputs'!$E$58))</x:f>
        <x:v>68719476736</x:v>
      </x:c>
      <x:c r="H12" s="69" t="n">
        <x:f>(((('01_Inputs'!$C$5)*('01_Inputs'!$C$8)))*('01_Inputs'!$B$58)*('01_Inputs'!$C$16)+((((('01_Inputs'!$C$5)*('01_Inputs'!$C$8)))*('01_Inputs'!$F$58)*('01_Inputs'!$M$58)))+((IF(('01_Inputs'!$K$58)=1,('01_Inputs'!$C$5),1)))*((MIN(('01_Inputs'!$D$58),IF(('01_Inputs'!$K$58)=1,('01_Inputs'!$C$8)*('01_Inputs'!$F$58),((('01_Inputs'!$C$5)*('01_Inputs'!$C$8)))*('01_Inputs'!$F$58)))))*((('01_Inputs'!$B$58)*('01_Inputs'!$E$58)))*('01_Inputs'!$C$37))</x:f>
        <x:v>2684878848</x:v>
      </x:c>
      <x:c r="I12" s="69" t="n">
        <x:f>0</x:f>
        <x:v>0</x:v>
      </x:c>
      <x:c r="J12" s="69" t="n">
        <x:f>(((('01_Inputs'!$C$5)*('01_Inputs'!$C$8)))*('01_Inputs'!$F$58)*('01_Inputs'!$E$58)*('01_Inputs'!$C$16))</x:f>
        <x:v>4194304</x:v>
      </x:c>
      <x:c r="K12" s="69" t="n">
        <x:f>(1)*((((('01_Inputs'!$C$5)*('01_Inputs'!$C$8)))*('01_Inputs'!$B$58)*('01_Inputs'!$C$16)+((((('01_Inputs'!$C$5)*('01_Inputs'!$C$8)))*('01_Inputs'!$F$58)*('01_Inputs'!$M$58)))+((IF(('01_Inputs'!$K$58)=1,('01_Inputs'!$C$5),1)))*((MIN(('01_Inputs'!$D$58),IF(('01_Inputs'!$K$58)=1,('01_Inputs'!$C$8)*('01_Inputs'!$F$58),((('01_Inputs'!$C$5)*('01_Inputs'!$C$8)))*('01_Inputs'!$F$58)))))*((('01_Inputs'!$B$58)*('01_Inputs'!$E$58)))*('01_Inputs'!$C$37)))</x:f>
        <x:v>2684878848</x:v>
      </x:c>
      <x:c r="L12" s="69" t="n">
        <x:f>(1)*((0)+((((('01_Inputs'!$C$5)*('01_Inputs'!$C$8)))*('01_Inputs'!$F$58)*('01_Inputs'!$E$58)*('01_Inputs'!$C$16))))</x:f>
        <x:v>4194304</x:v>
      </x:c>
      <x:c r="M12" s="69" t="n">
        <x:f>0</x:f>
        <x:v>0</x:v>
      </x:c>
      <x:c r="N12" s="66" t="n">
        <x:f>IF(((1)*(((((('01_Inputs'!$C$5)*('01_Inputs'!$C$8)))*('01_Inputs'!$B$58)*('01_Inputs'!$C$16)+((((('01_Inputs'!$C$5)*('01_Inputs'!$C$8)))*('01_Inputs'!$F$58)*('01_Inputs'!$M$58)))+((IF(('01_Inputs'!$K$58)=1,('01_Inputs'!$C$5),1)))*((MIN(('01_Inputs'!$D$58),IF(('01_Inputs'!$K$58)=1,('01_Inputs'!$C$8)*('01_Inputs'!$F$58),((('01_Inputs'!$C$5)*('01_Inputs'!$C$8)))*('01_Inputs'!$F$58)))))*((('01_Inputs'!$B$58)*('01_Inputs'!$E$58)))*('01_Inputs'!$C$37)))+(0)+((((('01_Inputs'!$C$5)*('01_Inputs'!$C$8)))*('01_Inputs'!$F$58)*('01_Inputs'!$E$58)*('01_Inputs'!$C$16)))))=0,"",((1)*((2*((('01_Inputs'!$C$5)*('01_Inputs'!$C$8)))*('01_Inputs'!$F$58)*('01_Inputs'!$B$58)*('01_Inputs'!$E$58))))/(((1)*(((((('01_Inputs'!$C$5)*('01_Inputs'!$C$8)))*('01_Inputs'!$B$58)*('01_Inputs'!$C$16)+((((('01_Inputs'!$C$5)*('01_Inputs'!$C$8)))*('01_Inputs'!$F$58)*('01_Inputs'!$M$58)))+((IF(('01_Inputs'!$K$58)=1,('01_Inputs'!$C$5),1)))*((MIN(('01_Inputs'!$D$58),IF(('01_Inputs'!$K$58)=1,('01_Inputs'!$C$8)*('01_Inputs'!$F$58),((('01_Inputs'!$C$5)*('01_Inputs'!$C$8)))*('01_Inputs'!$F$58)))))*((('01_Inputs'!$B$58)*('01_Inputs'!$E$58)))*('01_Inputs'!$C$37)))+(0)+((((('01_Inputs'!$C$5)*('01_Inputs'!$C$8)))*('01_Inputs'!$F$58)*('01_Inputs'!$E$58)*('01_Inputs'!$C$16)))))))</x:f>
        <x:v>25.55507896276077</x:v>
      </x:c>
      <x:c r="O12" s="66" t="n">
        <x:f>((1)*((2*((('01_Inputs'!$C$5)*('01_Inputs'!$C$8)))*('01_Inputs'!$F$58)*('01_Inputs'!$B$58)*('01_Inputs'!$E$58)))/(('01_Inputs'!$C$33)*('02_HW'!$C$6))*('02_HW'!$C$10))</x:f>
        <x:v>0.014893688065886432</x:v>
      </x:c>
      <x:c r="P12" s="66" t="n">
        <x:f>((1)*(((((('01_Inputs'!$C$5)*('01_Inputs'!$C$8)))*('01_Inputs'!$B$58)*('01_Inputs'!$C$16)+((((('01_Inputs'!$C$5)*('01_Inputs'!$C$8)))*('01_Inputs'!$F$58)*('01_Inputs'!$M$58)))+((IF(('01_Inputs'!$K$58)=1,('01_Inputs'!$C$5),1)))*((MIN(('01_Inputs'!$D$58),IF(('01_Inputs'!$K$58)=1,('01_Inputs'!$C$8)*('01_Inputs'!$F$58),((('01_Inputs'!$C$5)*('01_Inputs'!$C$8)))*('01_Inputs'!$F$58)))))*((('01_Inputs'!$B$58)*('01_Inputs'!$E$58)))*('01_Inputs'!$C$37)))+(0)+((((('01_Inputs'!$C$5)*('01_Inputs'!$C$8)))*('01_Inputs'!$F$58)*('01_Inputs'!$E$58)*('01_Inputs'!$C$16))))/(('01_Inputs'!$C$34)*('02_HW'!$C$7))*('02_HW'!$C$10))</x:f>
        <x:v>0.3633882637837838</x:v>
      </x:c>
      <x:c r="Q12" s="66" t="n">
        <x:f>(MAX(((1)*((2*((('01_Inputs'!$C$5)*('01_Inputs'!$C$8)))*('01_Inputs'!$F$58)*('01_Inputs'!$B$58)*('01_Inputs'!$E$58)))/(('01_Inputs'!$C$33)*('02_HW'!$C$6))*('02_HW'!$C$10)),((1)*(((((('01_Inputs'!$C$5)*('01_Inputs'!$C$8)))*('01_Inputs'!$B$58)*('01_Inputs'!$C$16)+((((('01_Inputs'!$C$5)*('01_Inputs'!$C$8)))*('01_Inputs'!$F$58)*('01_Inputs'!$M$58)))+((IF(('01_Inputs'!$K$58)=1,('01_Inputs'!$C$5),1)))*((MIN(('01_Inputs'!$D$58),IF(('01_Inputs'!$K$58)=1,('01_Inputs'!$C$8)*('01_Inputs'!$F$58),((('01_Inputs'!$C$5)*('01_Inputs'!$C$8)))*('01_Inputs'!$F$58)))))*((('01_Inputs'!$B$58)*('01_Inputs'!$E$58)))*('01_Inputs'!$C$37)))+(0)+((((('01_Inputs'!$C$5)*('01_Inputs'!$C$8)))*('01_Inputs'!$F$58)*('01_Inputs'!$E$58)*('01_Inputs'!$C$16))))/(('01_Inputs'!$C$34)*('02_HW'!$C$7))*('02_HW'!$C$10)))+(1)*('02_HW'!$C$9)*('02_HW'!$C$10))</x:f>
        <x:v>0.3633882637837838</x:v>
      </x:c>
      <x:c r="R12" s="21" t="str">
        <x:f>IF(O12&gt;P12,"compute",IF(P12&gt;O12,"memory","balanced"))</x:f>
        <x:v>memory</x:v>
      </x:c>
      <x:c r="S12" s="24" t="str">
        <x:v>HBM reads use the per-request unique-active upper bound min(C,Q·top-k).</x:v>
      </x:c>
    </x:row>
    <x:row r="13">
      <x:c r="A13" s="21" t="n">
        <x:f>ROW()-5</x:f>
        <x:v>8</x:v>
      </x:c>
      <x:c r="B13" s="21" t="str">
        <x:v>prefill</x:v>
      </x:c>
      <x:c r="C13" s="21" t="str">
        <x:v>cms_forward</x:v>
      </x:c>
      <x:c r="D13" s="21" t="str">
        <x:v>cms_l2_expert_b</x:v>
      </x:c>
      <x:c r="E13" s="24" t="str">
        <x:v>2N·topk·R·D</x:v>
      </x:c>
      <x:c r="F13" s="66" t="n">
        <x:f>1</x:f>
        <x:v>1</x:v>
      </x:c>
      <x:c r="G13" s="69" t="n">
        <x:f>(2*((('01_Inputs'!$C$5)*('01_Inputs'!$C$8)))*('01_Inputs'!$F$58)*('01_Inputs'!$E$58)*('01_Inputs'!$C$58))</x:f>
        <x:v>68719476736</x:v>
      </x:c>
      <x:c r="H13" s="69" t="n">
        <x:f>(((((('01_Inputs'!$C$5)*('01_Inputs'!$C$8)))*('01_Inputs'!$F$58)*('01_Inputs'!$E$58)*('01_Inputs'!$C$16)))+((IF(('01_Inputs'!$K$58)=1,('01_Inputs'!$C$5),1)))*((MIN(('01_Inputs'!$D$58),IF(('01_Inputs'!$K$58)=1,('01_Inputs'!$C$8)*('01_Inputs'!$F$58),((('01_Inputs'!$C$5)*('01_Inputs'!$C$8)))*('01_Inputs'!$F$58)))))*((('01_Inputs'!$E$58)*('01_Inputs'!$C$58)))*('01_Inputs'!$C$37))</x:f>
        <x:v>2151677952</x:v>
      </x:c>
      <x:c r="I13" s="69" t="n">
        <x:f>0</x:f>
        <x:v>0</x:v>
      </x:c>
      <x:c r="J13" s="69" t="n">
        <x:f>(((('01_Inputs'!$C$5)*('01_Inputs'!$C$8)))*('01_Inputs'!$C$58)*('01_Inputs'!$C$16))</x:f>
        <x:v>536870912</x:v>
      </x:c>
      <x:c r="K13" s="69" t="n">
        <x:f>(1)*((((((('01_Inputs'!$C$5)*('01_Inputs'!$C$8)))*('01_Inputs'!$F$58)*('01_Inputs'!$E$58)*('01_Inputs'!$C$16)))+((IF(('01_Inputs'!$K$58)=1,('01_Inputs'!$C$5),1)))*((MIN(('01_Inputs'!$D$58),IF(('01_Inputs'!$K$58)=1,('01_Inputs'!$C$8)*('01_Inputs'!$F$58),((('01_Inputs'!$C$5)*('01_Inputs'!$C$8)))*('01_Inputs'!$F$58)))))*((('01_Inputs'!$E$58)*('01_Inputs'!$C$58)))*('01_Inputs'!$C$37)))</x:f>
        <x:v>2151677952</x:v>
      </x:c>
      <x:c r="L13" s="69" t="n">
        <x:f>(1)*((0)+((((('01_Inputs'!$C$5)*('01_Inputs'!$C$8)))*('01_Inputs'!$C$58)*('01_Inputs'!$C$16))))</x:f>
        <x:v>536870912</x:v>
      </x:c>
      <x:c r="M13" s="69" t="n">
        <x:f>0</x:f>
        <x:v>0</x:v>
      </x:c>
      <x:c r="N13" s="66" t="n">
        <x:f>IF(((1)*(((((((('01_Inputs'!$C$5)*('01_Inputs'!$C$8)))*('01_Inputs'!$F$58)*('01_Inputs'!$E$58)*('01_Inputs'!$C$16)))+((IF(('01_Inputs'!$K$58)=1,('01_Inputs'!$C$5),1)))*((MIN(('01_Inputs'!$D$58),IF(('01_Inputs'!$K$58)=1,('01_Inputs'!$C$8)*('01_Inputs'!$F$58),((('01_Inputs'!$C$5)*('01_Inputs'!$C$8)))*('01_Inputs'!$F$58)))))*((('01_Inputs'!$E$58)*('01_Inputs'!$C$58)))*('01_Inputs'!$C$37)))+(0)+((((('01_Inputs'!$C$5)*('01_Inputs'!$C$8)))*('01_Inputs'!$C$58)*('01_Inputs'!$C$16)))))=0,"",((1)*((2*((('01_Inputs'!$C$5)*('01_Inputs'!$C$8)))*('01_Inputs'!$F$58)*('01_Inputs'!$E$58)*('01_Inputs'!$C$58))))/(((1)*(((((((('01_Inputs'!$C$5)*('01_Inputs'!$C$8)))*('01_Inputs'!$F$58)*('01_Inputs'!$E$58)*('01_Inputs'!$C$16)))+((IF(('01_Inputs'!$K$58)=1,('01_Inputs'!$C$5),1)))*((MIN(('01_Inputs'!$D$58),IF(('01_Inputs'!$K$58)=1,('01_Inputs'!$C$8)*('01_Inputs'!$F$58),((('01_Inputs'!$C$5)*('01_Inputs'!$C$8)))*('01_Inputs'!$F$58)))))*((('01_Inputs'!$E$58)*('01_Inputs'!$C$58)))*('01_Inputs'!$C$37)))+(0)+((((('01_Inputs'!$C$5)*('01_Inputs'!$C$8)))*('01_Inputs'!$C$58)*('01_Inputs'!$C$16)))))))</x:f>
        <x:v>25.5600624024961</x:v>
      </x:c>
      <x:c r="O13" s="66" t="n">
        <x:f>((1)*((2*((('01_Inputs'!$C$5)*('01_Inputs'!$C$8)))*('01_Inputs'!$F$58)*('01_Inputs'!$E$58)*('01_Inputs'!$C$58)))/(('01_Inputs'!$C$33)*('02_HW'!$C$6))*('02_HW'!$C$10))</x:f>
        <x:v>0.014893688065886432</x:v>
      </x:c>
      <x:c r="P13" s="66" t="n">
        <x:f>((1)*(((((((('01_Inputs'!$C$5)*('01_Inputs'!$C$8)))*('01_Inputs'!$F$58)*('01_Inputs'!$E$58)*('01_Inputs'!$C$16)))+((IF(('01_Inputs'!$K$58)=1,('01_Inputs'!$C$5),1)))*((MIN(('01_Inputs'!$D$58),IF(('01_Inputs'!$K$58)=1,('01_Inputs'!$C$8)*('01_Inputs'!$F$58),((('01_Inputs'!$C$5)*('01_Inputs'!$C$8)))*('01_Inputs'!$F$58)))))*((('01_Inputs'!$E$58)*('01_Inputs'!$C$58)))*('01_Inputs'!$C$37)))+(0)+((((('01_Inputs'!$C$5)*('01_Inputs'!$C$8)))*('01_Inputs'!$C$58)*('01_Inputs'!$C$16))))/(('01_Inputs'!$C$34)*('02_HW'!$C$7))*('02_HW'!$C$10))</x:f>
        <x:v>0.36331741405405404</x:v>
      </x:c>
      <x:c r="Q13" s="66" t="n">
        <x:f>(MAX(((1)*((2*((('01_Inputs'!$C$5)*('01_Inputs'!$C$8)))*('01_Inputs'!$F$58)*('01_Inputs'!$E$58)*('01_Inputs'!$C$58)))/(('01_Inputs'!$C$33)*('02_HW'!$C$6))*('02_HW'!$C$10)),((1)*(((((((('01_Inputs'!$C$5)*('01_Inputs'!$C$8)))*('01_Inputs'!$F$58)*('01_Inputs'!$E$58)*('01_Inputs'!$C$16)))+((IF(('01_Inputs'!$K$58)=1,('01_Inputs'!$C$5),1)))*((MIN(('01_Inputs'!$D$58),IF(('01_Inputs'!$K$58)=1,('01_Inputs'!$C$8)*('01_Inputs'!$F$58),((('01_Inputs'!$C$5)*('01_Inputs'!$C$8)))*('01_Inputs'!$F$58)))))*((('01_Inputs'!$E$58)*('01_Inputs'!$C$58)))*('01_Inputs'!$C$37)))+(0)+((((('01_Inputs'!$C$5)*('01_Inputs'!$C$8)))*('01_Inputs'!$C$58)*('01_Inputs'!$C$16))))/(('01_Inputs'!$C$34)*('02_HW'!$C$7))*('02_HW'!$C$10)))+(1)*('02_HW'!$C$9)*('02_HW'!$C$10))</x:f>
        <x:v>0.36331741405405404</x:v>
      </x:c>
      <x:c r="R13" s="21" t="str">
        <x:f>IF(O13&gt;P13,"compute",IF(P13&gt;O13,"memory","balanced"))</x:f>
        <x:v>memory</x:v>
      </x:c>
      <x:c r="S13" s="24" t="str">
        <x:v>Only top-k active B matrices are read; no capacity×LRD dense hidden flatten.</x:v>
      </x:c>
    </x:row>
    <x:row r="14">
      <x:c r="A14" s="21" t="n">
        <x:f>ROW()-5</x:f>
        <x:v>9</x:v>
      </x:c>
      <x:c r="B14" s="21" t="str">
        <x:v>prefill</x:v>
      </x:c>
      <x:c r="C14" s="21" t="str">
        <x:v>cms_forward</x:v>
      </x:c>
      <x:c r="D14" s="21" t="str">
        <x:v>cms_l3_router</x:v>
      </x:c>
      <x:c r="E14" s="24" t="str">
        <x:v>2ND·C + crouterN·C</x:v>
      </x:c>
      <x:c r="F14" s="66" t="n">
        <x:f>1</x:f>
        <x:v>1</x:v>
      </x:c>
      <x:c r="G14" s="69" t="n">
        <x:f>(2*((('01_Inputs'!$C$5)*('01_Inputs'!$C$8)))*('01_Inputs'!$B$59)*('01_Inputs'!$D$59)+('01_Inputs'!$G$59)*((('01_Inputs'!$C$5)*('01_Inputs'!$C$8)))*('01_Inputs'!$D$59))</x:f>
        <x:v>274894684160</x:v>
      </x:c>
      <x:c r="H14" s="69" t="n">
        <x:f>(((('01_Inputs'!$C$5)*('01_Inputs'!$C$8)))*('01_Inputs'!$B$59)*('01_Inputs'!$C$16)+((IF(('01_Inputs'!$K$59)=1,('01_Inputs'!$C$5),1)))*((('01_Inputs'!$B$59)*('01_Inputs'!$D$59)))*('01_Inputs'!$C$37))</x:f>
        <x:v>603979776</x:v>
      </x:c>
      <x:c r="I14" s="69" t="n">
        <x:f>0</x:f>
        <x:v>0</x:v>
      </x:c>
      <x:c r="J14" s="69" t="n">
        <x:f>(((('01_Inputs'!$C$5)*('01_Inputs'!$C$8)))*('01_Inputs'!$F$59)*('01_Inputs'!$M$59))</x:f>
        <x:v>524288</x:v>
      </x:c>
      <x:c r="K14" s="69" t="n">
        <x:f>(1)*((((('01_Inputs'!$C$5)*('01_Inputs'!$C$8)))*('01_Inputs'!$B$59)*('01_Inputs'!$C$16)+((IF(('01_Inputs'!$K$59)=1,('01_Inputs'!$C$5),1)))*((('01_Inputs'!$B$59)*('01_Inputs'!$D$59)))*('01_Inputs'!$C$37)))</x:f>
        <x:v>603979776</x:v>
      </x:c>
      <x:c r="L14" s="69" t="n">
        <x:f>(1)*((0)+((((('01_Inputs'!$C$5)*('01_Inputs'!$C$8)))*('01_Inputs'!$F$59)*('01_Inputs'!$M$59))))</x:f>
        <x:v>524288</x:v>
      </x:c>
      <x:c r="M14" s="69" t="n">
        <x:f>(((IF(('01_Inputs'!$K$59)=1,('01_Inputs'!$C$5),1)))*((((('01_Inputs'!$B$59)*('01_Inputs'!$D$59)))+('01_Inputs'!$D$59)*(((('01_Inputs'!$B$59)*('01_Inputs'!$E$59)))+((('01_Inputs'!$E$59)*('01_Inputs'!$C$59))))))*(('01_Inputs'!$C$37)+('01_Inputs'!$J$59)*('01_Inputs'!$C$38)))</x:f>
        <x:v>8657043456</x:v>
      </x:c>
      <x:c r="N14" s="66" t="n">
        <x:f>IF(((1)*(((((('01_Inputs'!$C$5)*('01_Inputs'!$C$8)))*('01_Inputs'!$B$59)*('01_Inputs'!$C$16)+((IF(('01_Inputs'!$K$59)=1,('01_Inputs'!$C$5),1)))*((('01_Inputs'!$B$59)*('01_Inputs'!$D$59)))*('01_Inputs'!$C$37)))+(0)+((((('01_Inputs'!$C$5)*('01_Inputs'!$C$8)))*('01_Inputs'!$F$59)*('01_Inputs'!$M$59)))))=0,"",((1)*((2*((('01_Inputs'!$C$5)*('01_Inputs'!$C$8)))*('01_Inputs'!$B$59)*('01_Inputs'!$D$59)+('01_Inputs'!$G$59)*((('01_Inputs'!$C$5)*('01_Inputs'!$C$8)))*('01_Inputs'!$D$59))))/(((1)*(((((('01_Inputs'!$C$5)*('01_Inputs'!$C$8)))*('01_Inputs'!$B$59)*('01_Inputs'!$C$16)+((IF(('01_Inputs'!$K$59)=1,('01_Inputs'!$C$5),1)))*((('01_Inputs'!$B$59)*('01_Inputs'!$D$59)))*('01_Inputs'!$C$37)))+(0)+((((('01_Inputs'!$C$5)*('01_Inputs'!$C$8)))*('01_Inputs'!$F$59)*('01_Inputs'!$M$59)))))))</x:f>
        <x:v>454.74414570685167</x:v>
      </x:c>
      <x:c r="O14" s="66" t="n">
        <x:f>((1)*((2*((('01_Inputs'!$C$5)*('01_Inputs'!$C$8)))*('01_Inputs'!$B$59)*('01_Inputs'!$D$59)+('01_Inputs'!$G$59)*((('01_Inputs'!$C$5)*('01_Inputs'!$C$8)))*('01_Inputs'!$D$59)))/(('01_Inputs'!$C$33)*('02_HW'!$C$6))*('02_HW'!$C$10))</x:f>
        <x:v>0.059578388417858695</x:v>
      </x:c>
      <x:c r="P14" s="66" t="n">
        <x:f>((1)*(((((('01_Inputs'!$C$5)*('01_Inputs'!$C$8)))*('01_Inputs'!$B$59)*('01_Inputs'!$C$16)+((IF(('01_Inputs'!$K$59)=1,('01_Inputs'!$C$5),1)))*((('01_Inputs'!$B$59)*('01_Inputs'!$D$59)))*('01_Inputs'!$C$37)))+(0)+((((('01_Inputs'!$C$5)*('01_Inputs'!$C$8)))*('01_Inputs'!$F$59)*('01_Inputs'!$M$59))))/(('01_Inputs'!$C$34)*('02_HW'!$C$7))*('02_HW'!$C$10))</x:f>
        <x:v>0.08168973837837837</x:v>
      </x:c>
      <x:c r="Q14" s="66" t="n">
        <x:f>(MAX(((1)*((2*((('01_Inputs'!$C$5)*('01_Inputs'!$C$8)))*('01_Inputs'!$B$59)*('01_Inputs'!$D$59)+('01_Inputs'!$G$59)*((('01_Inputs'!$C$5)*('01_Inputs'!$C$8)))*('01_Inputs'!$D$59)))/(('01_Inputs'!$C$33)*('02_HW'!$C$6))*('02_HW'!$C$10)),((1)*(((((('01_Inputs'!$C$5)*('01_Inputs'!$C$8)))*('01_Inputs'!$B$59)*('01_Inputs'!$C$16)+((IF(('01_Inputs'!$K$59)=1,('01_Inputs'!$C$5),1)))*((('01_Inputs'!$B$59)*('01_Inputs'!$D$59)))*('01_Inputs'!$C$37)))+(0)+((((('01_Inputs'!$C$5)*('01_Inputs'!$C$8)))*('01_Inputs'!$F$59)*('01_Inputs'!$M$59))))/(('01_Inputs'!$C$34)*('02_HW'!$C$7))*('02_HW'!$C$10)))+(1)*('02_HW'!$C$9)*('02_HW'!$C$10))</x:f>
        <x:v>0.08168973837837837</x:v>
      </x:c>
      <x:c r="R14" s="21" t="str">
        <x:f>IF(O14&gt;P14,"compute",IF(P14&gt;O14,"memory","balanced"))</x:f>
        <x:v>memory</x:v>
      </x:c>
      <x:c r="S14" s="24" t="str">
        <x:v>Router compute is dense in capacity; capacity remains a residency dimension.</x:v>
      </x:c>
    </x:row>
    <x:row r="15">
      <x:c r="A15" s="21" t="n">
        <x:f>ROW()-5</x:f>
        <x:v>10</x:v>
      </x:c>
      <x:c r="B15" s="21" t="str">
        <x:v>prefill</x:v>
      </x:c>
      <x:c r="C15" s="21" t="str">
        <x:v>cms_forward</x:v>
      </x:c>
      <x:c r="D15" s="21" t="str">
        <x:v>cms_l3_expert_a</x:v>
      </x:c>
      <x:c r="E15" s="24" t="str">
        <x:v>2N·topk·D·R</x:v>
      </x:c>
      <x:c r="F15" s="66" t="n">
        <x:f>1</x:f>
        <x:v>1</x:v>
      </x:c>
      <x:c r="G15" s="69" t="n">
        <x:f>(2*((('01_Inputs'!$C$5)*('01_Inputs'!$C$8)))*('01_Inputs'!$F$59)*('01_Inputs'!$B$59)*('01_Inputs'!$E$59))</x:f>
        <x:v>68719476736</x:v>
      </x:c>
      <x:c r="H15" s="69" t="n">
        <x:f>(((('01_Inputs'!$C$5)*('01_Inputs'!$C$8)))*('01_Inputs'!$B$59)*('01_Inputs'!$C$16)+((((('01_Inputs'!$C$5)*('01_Inputs'!$C$8)))*('01_Inputs'!$F$59)*('01_Inputs'!$M$59)))+((IF(('01_Inputs'!$K$59)=1,('01_Inputs'!$C$5),1)))*((MIN(('01_Inputs'!$D$59),IF(('01_Inputs'!$K$59)=1,('01_Inputs'!$C$8)*('01_Inputs'!$F$59),((('01_Inputs'!$C$5)*('01_Inputs'!$C$8)))*('01_Inputs'!$F$59)))))*((('01_Inputs'!$B$59)*('01_Inputs'!$E$59)))*('01_Inputs'!$C$37))</x:f>
        <x:v>4832362496</x:v>
      </x:c>
      <x:c r="I15" s="69" t="n">
        <x:f>0</x:f>
        <x:v>0</x:v>
      </x:c>
      <x:c r="J15" s="69" t="n">
        <x:f>(((('01_Inputs'!$C$5)*('01_Inputs'!$C$8)))*('01_Inputs'!$F$59)*('01_Inputs'!$E$59)*('01_Inputs'!$C$16))</x:f>
        <x:v>4194304</x:v>
      </x:c>
      <x:c r="K15" s="69" t="n">
        <x:f>(1)*((((('01_Inputs'!$C$5)*('01_Inputs'!$C$8)))*('01_Inputs'!$B$59)*('01_Inputs'!$C$16)+((((('01_Inputs'!$C$5)*('01_Inputs'!$C$8)))*('01_Inputs'!$F$59)*('01_Inputs'!$M$59)))+((IF(('01_Inputs'!$K$59)=1,('01_Inputs'!$C$5),1)))*((MIN(('01_Inputs'!$D$59),IF(('01_Inputs'!$K$59)=1,('01_Inputs'!$C$8)*('01_Inputs'!$F$59),((('01_Inputs'!$C$5)*('01_Inputs'!$C$8)))*('01_Inputs'!$F$59)))))*((('01_Inputs'!$B$59)*('01_Inputs'!$E$59)))*('01_Inputs'!$C$37)))</x:f>
        <x:v>4832362496</x:v>
      </x:c>
      <x:c r="L15" s="69" t="n">
        <x:f>(1)*((0)+((((('01_Inputs'!$C$5)*('01_Inputs'!$C$8)))*('01_Inputs'!$F$59)*('01_Inputs'!$E$59)*('01_Inputs'!$C$16))))</x:f>
        <x:v>4194304</x:v>
      </x:c>
      <x:c r="M15" s="69" t="n">
        <x:f>0</x:f>
        <x:v>0</x:v>
      </x:c>
      <x:c r="N15" s="66" t="n">
        <x:f>IF(((1)*(((((('01_Inputs'!$C$5)*('01_Inputs'!$C$8)))*('01_Inputs'!$B$59)*('01_Inputs'!$C$16)+((((('01_Inputs'!$C$5)*('01_Inputs'!$C$8)))*('01_Inputs'!$F$59)*('01_Inputs'!$M$59)))+((IF(('01_Inputs'!$K$59)=1,('01_Inputs'!$C$5),1)))*((MIN(('01_Inputs'!$D$59),IF(('01_Inputs'!$K$59)=1,('01_Inputs'!$C$8)*('01_Inputs'!$F$59),((('01_Inputs'!$C$5)*('01_Inputs'!$C$8)))*('01_Inputs'!$F$59)))))*((('01_Inputs'!$B$59)*('01_Inputs'!$E$59)))*('01_Inputs'!$C$37)))+(0)+((((('01_Inputs'!$C$5)*('01_Inputs'!$C$8)))*('01_Inputs'!$F$59)*('01_Inputs'!$E$59)*('01_Inputs'!$C$16)))))=0,"",((1)*((2*((('01_Inputs'!$C$5)*('01_Inputs'!$C$8)))*('01_Inputs'!$F$59)*('01_Inputs'!$B$59)*('01_Inputs'!$E$59))))/(((1)*(((((('01_Inputs'!$C$5)*('01_Inputs'!$C$8)))*('01_Inputs'!$B$59)*('01_Inputs'!$C$16)+((((('01_Inputs'!$C$5)*('01_Inputs'!$C$8)))*('01_Inputs'!$F$59)*('01_Inputs'!$M$59)))+((IF(('01_Inputs'!$K$59)=1,('01_Inputs'!$C$5),1)))*((MIN(('01_Inputs'!$D$59),IF(('01_Inputs'!$K$59)=1,('01_Inputs'!$C$8)*('01_Inputs'!$F$59),((('01_Inputs'!$C$5)*('01_Inputs'!$C$8)))*('01_Inputs'!$F$59)))))*((('01_Inputs'!$B$59)*('01_Inputs'!$E$59)))*('01_Inputs'!$C$37)))+(0)+((((('01_Inputs'!$C$5)*('01_Inputs'!$C$8)))*('01_Inputs'!$F$59)*('01_Inputs'!$E$59)*('01_Inputs'!$C$16)))))))</x:f>
        <x:v>14.208346883468835</x:v>
      </x:c>
      <x:c r="O15" s="66" t="n">
        <x:f>((1)*((2*((('01_Inputs'!$C$5)*('01_Inputs'!$C$8)))*('01_Inputs'!$F$59)*('01_Inputs'!$B$59)*('01_Inputs'!$E$59)))/(('01_Inputs'!$C$33)*('02_HW'!$C$6))*('02_HW'!$C$10))</x:f>
        <x:v>0.014893688065886432</x:v>
      </x:c>
      <x:c r="P15" s="66" t="n">
        <x:f>((1)*(((((('01_Inputs'!$C$5)*('01_Inputs'!$C$8)))*('01_Inputs'!$B$59)*('01_Inputs'!$C$16)+((((('01_Inputs'!$C$5)*('01_Inputs'!$C$8)))*('01_Inputs'!$F$59)*('01_Inputs'!$M$59)))+((IF(('01_Inputs'!$K$59)=1,('01_Inputs'!$C$5),1)))*((MIN(('01_Inputs'!$D$59),IF(('01_Inputs'!$K$59)=1,('01_Inputs'!$C$8)*('01_Inputs'!$F$59),((('01_Inputs'!$C$5)*('01_Inputs'!$C$8)))*('01_Inputs'!$F$59)))))*((('01_Inputs'!$B$59)*('01_Inputs'!$E$59)))*('01_Inputs'!$C$37)))+(0)+((((('01_Inputs'!$C$5)*('01_Inputs'!$C$8)))*('01_Inputs'!$F$59)*('01_Inputs'!$E$59)*('01_Inputs'!$C$16))))/(('01_Inputs'!$C$34)*('02_HW'!$C$7))*('02_HW'!$C$10))</x:f>
        <x:v>0.6535887567567568</x:v>
      </x:c>
      <x:c r="Q15" s="66" t="n">
        <x:f>(MAX(((1)*((2*((('01_Inputs'!$C$5)*('01_Inputs'!$C$8)))*('01_Inputs'!$F$59)*('01_Inputs'!$B$59)*('01_Inputs'!$E$59)))/(('01_Inputs'!$C$33)*('02_HW'!$C$6))*('02_HW'!$C$10)),((1)*(((((('01_Inputs'!$C$5)*('01_Inputs'!$C$8)))*('01_Inputs'!$B$59)*('01_Inputs'!$C$16)+((((('01_Inputs'!$C$5)*('01_Inputs'!$C$8)))*('01_Inputs'!$F$59)*('01_Inputs'!$M$59)))+((IF(('01_Inputs'!$K$59)=1,('01_Inputs'!$C$5),1)))*((MIN(('01_Inputs'!$D$59),IF(('01_Inputs'!$K$59)=1,('01_Inputs'!$C$8)*('01_Inputs'!$F$59),((('01_Inputs'!$C$5)*('01_Inputs'!$C$8)))*('01_Inputs'!$F$59)))))*((('01_Inputs'!$B$59)*('01_Inputs'!$E$59)))*('01_Inputs'!$C$37)))+(0)+((((('01_Inputs'!$C$5)*('01_Inputs'!$C$8)))*('01_Inputs'!$F$59)*('01_Inputs'!$E$59)*('01_Inputs'!$C$16))))/(('01_Inputs'!$C$34)*('02_HW'!$C$7))*('02_HW'!$C$10)))+(1)*('02_HW'!$C$9)*('02_HW'!$C$10))</x:f>
        <x:v>0.6535887567567568</x:v>
      </x:c>
      <x:c r="R15" s="21" t="str">
        <x:f>IF(O15&gt;P15,"compute",IF(P15&gt;O15,"memory","balanced"))</x:f>
        <x:v>memory</x:v>
      </x:c>
      <x:c r="S15" s="24" t="str">
        <x:v>HBM reads use the per-request unique-active upper bound min(C,Q·top-k).</x:v>
      </x:c>
    </x:row>
    <x:row r="16">
      <x:c r="A16" s="21" t="n">
        <x:f>ROW()-5</x:f>
        <x:v>11</x:v>
      </x:c>
      <x:c r="B16" s="21" t="str">
        <x:v>prefill</x:v>
      </x:c>
      <x:c r="C16" s="21" t="str">
        <x:v>cms_forward</x:v>
      </x:c>
      <x:c r="D16" s="21" t="str">
        <x:v>cms_l3_expert_b</x:v>
      </x:c>
      <x:c r="E16" s="24" t="str">
        <x:v>2N·topk·R·D</x:v>
      </x:c>
      <x:c r="F16" s="66" t="n">
        <x:f>1</x:f>
        <x:v>1</x:v>
      </x:c>
      <x:c r="G16" s="69" t="n">
        <x:f>(2*((('01_Inputs'!$C$5)*('01_Inputs'!$C$8)))*('01_Inputs'!$F$59)*('01_Inputs'!$E$59)*('01_Inputs'!$C$59))</x:f>
        <x:v>68719476736</x:v>
      </x:c>
      <x:c r="H16" s="69" t="n">
        <x:f>(((((('01_Inputs'!$C$5)*('01_Inputs'!$C$8)))*('01_Inputs'!$F$59)*('01_Inputs'!$E$59)*('01_Inputs'!$C$16)))+((IF(('01_Inputs'!$K$59)=1,('01_Inputs'!$C$5),1)))*((MIN(('01_Inputs'!$D$59),IF(('01_Inputs'!$K$59)=1,('01_Inputs'!$C$8)*('01_Inputs'!$F$59),((('01_Inputs'!$C$5)*('01_Inputs'!$C$8)))*('01_Inputs'!$F$59)))))*((('01_Inputs'!$E$59)*('01_Inputs'!$C$59)))*('01_Inputs'!$C$37))</x:f>
        <x:v>4299161600</x:v>
      </x:c>
      <x:c r="I16" s="69" t="n">
        <x:f>0</x:f>
        <x:v>0</x:v>
      </x:c>
      <x:c r="J16" s="69" t="n">
        <x:f>(((('01_Inputs'!$C$5)*('01_Inputs'!$C$8)))*('01_Inputs'!$C$59)*('01_Inputs'!$C$16))</x:f>
        <x:v>536870912</x:v>
      </x:c>
      <x:c r="K16" s="69" t="n">
        <x:f>(1)*((((((('01_Inputs'!$C$5)*('01_Inputs'!$C$8)))*('01_Inputs'!$F$59)*('01_Inputs'!$E$59)*('01_Inputs'!$C$16)))+((IF(('01_Inputs'!$K$59)=1,('01_Inputs'!$C$5),1)))*((MIN(('01_Inputs'!$D$59),IF(('01_Inputs'!$K$59)=1,('01_Inputs'!$C$8)*('01_Inputs'!$F$59),((('01_Inputs'!$C$5)*('01_Inputs'!$C$8)))*('01_Inputs'!$F$59)))))*((('01_Inputs'!$E$59)*('01_Inputs'!$C$59)))*('01_Inputs'!$C$37)))</x:f>
        <x:v>4299161600</x:v>
      </x:c>
      <x:c r="L16" s="69" t="n">
        <x:f>(1)*((0)+((((('01_Inputs'!$C$5)*('01_Inputs'!$C$8)))*('01_Inputs'!$C$59)*('01_Inputs'!$C$16))))</x:f>
        <x:v>536870912</x:v>
      </x:c>
      <x:c r="M16" s="69" t="n">
        <x:f>0</x:f>
        <x:v>0</x:v>
      </x:c>
      <x:c r="N16" s="66" t="n">
        <x:f>IF(((1)*(((((((('01_Inputs'!$C$5)*('01_Inputs'!$C$8)))*('01_Inputs'!$F$59)*('01_Inputs'!$E$59)*('01_Inputs'!$C$16)))+((IF(('01_Inputs'!$K$59)=1,('01_Inputs'!$C$5),1)))*((MIN(('01_Inputs'!$D$59),IF(('01_Inputs'!$K$59)=1,('01_Inputs'!$C$8)*('01_Inputs'!$F$59),((('01_Inputs'!$C$5)*('01_Inputs'!$C$8)))*('01_Inputs'!$F$59)))))*((('01_Inputs'!$E$59)*('01_Inputs'!$C$59)))*('01_Inputs'!$C$37)))+(0)+((((('01_Inputs'!$C$5)*('01_Inputs'!$C$8)))*('01_Inputs'!$C$59)*('01_Inputs'!$C$16)))))=0,"",((1)*((2*((('01_Inputs'!$C$5)*('01_Inputs'!$C$8)))*('01_Inputs'!$F$59)*('01_Inputs'!$E$59)*('01_Inputs'!$C$59))))/(((1)*(((((((('01_Inputs'!$C$5)*('01_Inputs'!$C$8)))*('01_Inputs'!$F$59)*('01_Inputs'!$E$59)*('01_Inputs'!$C$16)))+((IF(('01_Inputs'!$K$59)=1,('01_Inputs'!$C$5),1)))*((MIN(('01_Inputs'!$D$59),IF(('01_Inputs'!$K$59)=1,('01_Inputs'!$C$8)*('01_Inputs'!$F$59),((('01_Inputs'!$C$5)*('01_Inputs'!$C$8)))*('01_Inputs'!$F$59)))))*((('01_Inputs'!$E$59)*('01_Inputs'!$C$59)))*('01_Inputs'!$C$37)))+(0)+((((('01_Inputs'!$C$5)*('01_Inputs'!$C$8)))*('01_Inputs'!$C$59)*('01_Inputs'!$C$16)))))))</x:f>
        <x:v>14.209887250650477</x:v>
      </x:c>
      <x:c r="O16" s="66" t="n">
        <x:f>((1)*((2*((('01_Inputs'!$C$5)*('01_Inputs'!$C$8)))*('01_Inputs'!$F$59)*('01_Inputs'!$E$59)*('01_Inputs'!$C$59)))/(('01_Inputs'!$C$33)*('02_HW'!$C$6))*('02_HW'!$C$10))</x:f>
        <x:v>0.014893688065886432</x:v>
      </x:c>
      <x:c r="P16" s="66" t="n">
        <x:f>((1)*(((((((('01_Inputs'!$C$5)*('01_Inputs'!$C$8)))*('01_Inputs'!$F$59)*('01_Inputs'!$E$59)*('01_Inputs'!$C$16)))+((IF(('01_Inputs'!$K$59)=1,('01_Inputs'!$C$5),1)))*((MIN(('01_Inputs'!$D$59),IF(('01_Inputs'!$K$59)=1,('01_Inputs'!$C$8)*('01_Inputs'!$F$59),((('01_Inputs'!$C$5)*('01_Inputs'!$C$8)))*('01_Inputs'!$F$59)))))*((('01_Inputs'!$E$59)*('01_Inputs'!$C$59)))*('01_Inputs'!$C$37)))+(0)+((((('01_Inputs'!$C$5)*('01_Inputs'!$C$8)))*('01_Inputs'!$C$59)*('01_Inputs'!$C$16))))/(('01_Inputs'!$C$34)*('02_HW'!$C$7))*('02_HW'!$C$10))</x:f>
        <x:v>0.653517907027027</x:v>
      </x:c>
      <x:c r="Q16" s="66" t="n">
        <x:f>(MAX(((1)*((2*((('01_Inputs'!$C$5)*('01_Inputs'!$C$8)))*('01_Inputs'!$F$59)*('01_Inputs'!$E$59)*('01_Inputs'!$C$59)))/(('01_Inputs'!$C$33)*('02_HW'!$C$6))*('02_HW'!$C$10)),((1)*(((((((('01_Inputs'!$C$5)*('01_Inputs'!$C$8)))*('01_Inputs'!$F$59)*('01_Inputs'!$E$59)*('01_Inputs'!$C$16)))+((IF(('01_Inputs'!$K$59)=1,('01_Inputs'!$C$5),1)))*((MIN(('01_Inputs'!$D$59),IF(('01_Inputs'!$K$59)=1,('01_Inputs'!$C$8)*('01_Inputs'!$F$59),((('01_Inputs'!$C$5)*('01_Inputs'!$C$8)))*('01_Inputs'!$F$59)))))*((('01_Inputs'!$E$59)*('01_Inputs'!$C$59)))*('01_Inputs'!$C$37)))+(0)+((((('01_Inputs'!$C$5)*('01_Inputs'!$C$8)))*('01_Inputs'!$C$59)*('01_Inputs'!$C$16))))/(('01_Inputs'!$C$34)*('02_HW'!$C$7))*('02_HW'!$C$10)))+(1)*('02_HW'!$C$9)*('02_HW'!$C$10))</x:f>
        <x:v>0.653517907027027</x:v>
      </x:c>
      <x:c r="R16" s="21" t="str">
        <x:f>IF(O16&gt;P16,"compute",IF(P16&gt;O16,"memory","balanced"))</x:f>
        <x:v>memory</x:v>
      </x:c>
      <x:c r="S16" s="24" t="str">
        <x:v>Only top-k active B matrices are read; no capacity×LRD dense hidden flatten.</x:v>
      </x:c>
    </x:row>
    <x:row r="17">
      <x:c r="A17" s="21" t="n">
        <x:f>ROW()-5</x:f>
        <x:v>12</x:v>
      </x:c>
      <x:c r="B17" s="21" t="str">
        <x:v>prefill</x:v>
      </x:c>
      <x:c r="C17" s="21" t="str">
        <x:v>loss</x:v>
      </x:c>
      <x:c r="D17" s="21" t="str">
        <x:v>M_k_target_forward</x:v>
      </x:c>
      <x:c r="E17" s="24" t="str">
        <x:v>Ffwd(N)</x:v>
      </x:c>
      <x:c r="F17" s="66" t="n">
        <x:f>1</x:f>
        <x:v>1</x:v>
      </x:c>
      <x:c r="G17" s="69" t="n">
        <x:f>(2*((('01_Inputs'!$C$5)*('01_Inputs'!$C$8)))*((('01_Inputs'!$B$48)*('01_Inputs'!$C$48)+('01_Inputs'!$C$48)*('01_Inputs'!$D$48)))+((('01_Inputs'!$C$5)*('01_Inputs'!$C$8)))*(('01_Inputs'!$C$39)*('01_Inputs'!$C$48)+('01_Inputs'!$C$40)*('01_Inputs'!$D$48)))</x:f>
        <x:v>17594870398976</x:v>
      </x:c>
      <x:c r="H17" s="69" t="n">
        <x:f>(((((('01_Inputs'!$C$5)*('01_Inputs'!$C$8)))*('01_Inputs'!$B$48)*('01_Inputs'!$C$16)))+('01_Inputs'!$C$5)*((('01_Inputs'!$B$48)*('01_Inputs'!$C$48)+('01_Inputs'!$C$48)*('01_Inputs'!$D$48)))*('01_Inputs'!$C$37)*('01_Inputs'!$H$48))</x:f>
        <x:v>4831838208</x:v>
      </x:c>
      <x:c r="I17" s="69" t="n">
        <x:f>0</x:f>
        <x:v>0</x:v>
      </x:c>
      <x:c r="J17" s="69" t="n">
        <x:f>(((('01_Inputs'!$C$5)*('01_Inputs'!$C$8)))*('01_Inputs'!$D$48)*('01_Inputs'!$C$16))</x:f>
        <x:v>536870912</x:v>
      </x:c>
      <x:c r="K17" s="69" t="n">
        <x:f>(1)*((((((('01_Inputs'!$C$5)*('01_Inputs'!$C$8)))*('01_Inputs'!$B$48)*('01_Inputs'!$C$16)))+('01_Inputs'!$C$5)*((('01_Inputs'!$B$48)*('01_Inputs'!$C$48)+('01_Inputs'!$C$48)*('01_Inputs'!$D$48)))*('01_Inputs'!$C$37)*('01_Inputs'!$H$48)))</x:f>
        <x:v>4831838208</x:v>
      </x:c>
      <x:c r="L17" s="69" t="n">
        <x:f>(1)*((0)+((((('01_Inputs'!$C$5)*('01_Inputs'!$C$8)))*('01_Inputs'!$D$48)*('01_Inputs'!$C$16))))</x:f>
        <x:v>536870912</x:v>
      </x:c>
      <x:c r="M17" s="69" t="n">
        <x:f>(('01_Inputs'!$C$5)*((('01_Inputs'!$B$48)*('01_Inputs'!$C$48)+('01_Inputs'!$C$48)*('01_Inputs'!$D$48)))*(('01_Inputs'!$C$37)+('01_Inputs'!$F$48)*('01_Inputs'!$C$38)))</x:f>
        <x:v>21474836480</x:v>
      </x:c>
      <x:c r="N17" s="66" t="n">
        <x:f>IF(((1)*(((((((('01_Inputs'!$C$5)*('01_Inputs'!$C$8)))*('01_Inputs'!$B$48)*('01_Inputs'!$C$16)))+('01_Inputs'!$C$5)*((('01_Inputs'!$B$48)*('01_Inputs'!$C$48)+('01_Inputs'!$C$48)*('01_Inputs'!$D$48)))*('01_Inputs'!$C$37)*('01_Inputs'!$H$48)))+(0)+((((('01_Inputs'!$C$5)*('01_Inputs'!$C$8)))*('01_Inputs'!$D$48)*('01_Inputs'!$C$16)))))=0,"",((1)*((2*((('01_Inputs'!$C$5)*('01_Inputs'!$C$8)))*((('01_Inputs'!$B$48)*('01_Inputs'!$C$48)+('01_Inputs'!$C$48)*('01_Inputs'!$D$48)))+((('01_Inputs'!$C$5)*('01_Inputs'!$C$8)))*(('01_Inputs'!$C$39)*('01_Inputs'!$C$48)+('01_Inputs'!$C$40)*('01_Inputs'!$D$48)))))/(((1)*(((((((('01_Inputs'!$C$5)*('01_Inputs'!$C$8)))*('01_Inputs'!$B$48)*('01_Inputs'!$C$16)))+('01_Inputs'!$C$5)*((('01_Inputs'!$B$48)*('01_Inputs'!$C$48)+('01_Inputs'!$C$48)*('01_Inputs'!$D$48)))*('01_Inputs'!$C$37)*('01_Inputs'!$H$48)))+(0)+((((('01_Inputs'!$C$5)*('01_Inputs'!$C$8)))*('01_Inputs'!$D$48)*('01_Inputs'!$C$16)))))))</x:f>
        <x:v>3277.3</x:v>
      </x:c>
      <x:c r="O17" s="66" t="n">
        <x:f>((1)*((2*((('01_Inputs'!$C$5)*('01_Inputs'!$C$8)))*((('01_Inputs'!$B$48)*('01_Inputs'!$C$48)+('01_Inputs'!$C$48)*('01_Inputs'!$D$48)))+((('01_Inputs'!$C$5)*('01_Inputs'!$C$8)))*(('01_Inputs'!$C$39)*('01_Inputs'!$C$48)+('01_Inputs'!$C$40)*('01_Inputs'!$D$48))))/(('01_Inputs'!$C$33)*('02_HW'!$C$6))*('02_HW'!$C$10))</x:f>
        <x:v>3.8133659295570004</x:v>
      </x:c>
      <x:c r="P17" s="66" t="n">
        <x:f>((1)*(((((((('01_Inputs'!$C$5)*('01_Inputs'!$C$8)))*('01_Inputs'!$B$48)*('01_Inputs'!$C$16)))+('01_Inputs'!$C$5)*((('01_Inputs'!$B$48)*('01_Inputs'!$C$48)+('01_Inputs'!$C$48)*('01_Inputs'!$D$48)))*('01_Inputs'!$C$37)*('01_Inputs'!$H$48)))+(0)+((((('01_Inputs'!$C$5)*('01_Inputs'!$C$8)))*('01_Inputs'!$D$48)*('01_Inputs'!$C$16))))/(('01_Inputs'!$C$34)*('02_HW'!$C$7))*('02_HW'!$C$10))</x:f>
        <x:v>0.7255012324324324</x:v>
      </x:c>
      <x:c r="Q17" s="66" t="n">
        <x:f>(MAX(((1)*((2*((('01_Inputs'!$C$5)*('01_Inputs'!$C$8)))*((('01_Inputs'!$B$48)*('01_Inputs'!$C$48)+('01_Inputs'!$C$48)*('01_Inputs'!$D$48)))+((('01_Inputs'!$C$5)*('01_Inputs'!$C$8)))*(('01_Inputs'!$C$39)*('01_Inputs'!$C$48)+('01_Inputs'!$C$40)*('01_Inputs'!$D$48))))/(('01_Inputs'!$C$33)*('02_HW'!$C$6))*('02_HW'!$C$10)),((1)*(((((((('01_Inputs'!$C$5)*('01_Inputs'!$C$8)))*('01_Inputs'!$B$48)*('01_Inputs'!$C$16)))+('01_Inputs'!$C$5)*((('01_Inputs'!$B$48)*('01_Inputs'!$C$48)+('01_Inputs'!$C$48)*('01_Inputs'!$D$48)))*('01_Inputs'!$C$37)*('01_Inputs'!$H$48)))+(0)+((((('01_Inputs'!$C$5)*('01_Inputs'!$C$8)))*('01_Inputs'!$D$48)*('01_Inputs'!$C$16))))/(('01_Inputs'!$C$34)*('02_HW'!$C$7))*('02_HW'!$C$10)))+(1)*('02_HW'!$C$9)*('02_HW'!$C$10))</x:f>
        <x:v>3.8133659295570004</x:v>
      </x:c>
      <x:c r="R17" s="21" t="str">
        <x:f>IF(O17&gt;P17,"compute",IF(P17&gt;O17,"memory","balanced"))</x:f>
        <x:v>compute</x:v>
      </x:c>
      <x:c r="S17" s="24" t="str">
        <x:v>Auxiliary self-target/loss preparation; not a direct block forward output.</x:v>
      </x:c>
    </x:row>
    <x:row r="18">
      <x:c r="A18" s="21" t="n">
        <x:f>ROW()-5</x:f>
        <x:v>13</x:v>
      </x:c>
      <x:c r="B18" s="21" t="str">
        <x:v>prefill</x:v>
      </x:c>
      <x:c r="C18" s="21" t="str">
        <x:v>loss</x:v>
      </x:c>
      <x:c r="D18" s="21" t="str">
        <x:v>M_k_prediction_forward</x:v>
      </x:c>
      <x:c r="E18" s="24" t="str">
        <x:v>Ffwd(N)</x:v>
      </x:c>
      <x:c r="F18" s="66" t="n">
        <x:f>1</x:f>
        <x:v>1</x:v>
      </x:c>
      <x:c r="G18" s="69" t="n">
        <x:f>(2*((('01_Inputs'!$C$5)*('01_Inputs'!$C$8)))*((('01_Inputs'!$B$48)*('01_Inputs'!$C$48)+('01_Inputs'!$C$48)*('01_Inputs'!$D$48)))+((('01_Inputs'!$C$5)*('01_Inputs'!$C$8)))*(('01_Inputs'!$C$39)*('01_Inputs'!$C$48)+('01_Inputs'!$C$40)*('01_Inputs'!$D$48)))</x:f>
        <x:v>17594870398976</x:v>
      </x:c>
      <x:c r="H18" s="69" t="n">
        <x:f>(((('01_Inputs'!$C$5)*('01_Inputs'!$C$8)))*('01_Inputs'!$B$48)*('01_Inputs'!$C$16))</x:f>
        <x:v>536870912</x:v>
      </x:c>
      <x:c r="I18" s="69" t="n">
        <x:f>0</x:f>
        <x:v>0</x:v>
      </x:c>
      <x:c r="J18" s="69" t="n">
        <x:f>(((('01_Inputs'!$C$5)*('01_Inputs'!$C$8)))*('01_Inputs'!$D$48)*('01_Inputs'!$C$16))</x:f>
        <x:v>536870912</x:v>
      </x:c>
      <x:c r="K18" s="69" t="n">
        <x:f>(1)*((((('01_Inputs'!$C$5)*('01_Inputs'!$C$8)))*('01_Inputs'!$B$48)*('01_Inputs'!$C$16)))</x:f>
        <x:v>536870912</x:v>
      </x:c>
      <x:c r="L18" s="69" t="n">
        <x:f>(1)*((0)+((((('01_Inputs'!$C$5)*('01_Inputs'!$C$8)))*('01_Inputs'!$D$48)*('01_Inputs'!$C$16))))</x:f>
        <x:v>536870912</x:v>
      </x:c>
      <x:c r="M18" s="69" t="n">
        <x:f>0</x:f>
        <x:v>0</x:v>
      </x:c>
      <x:c r="N18" s="66" t="n">
        <x:f>IF(((1)*(((((('01_Inputs'!$C$5)*('01_Inputs'!$C$8)))*('01_Inputs'!$B$48)*('01_Inputs'!$C$16)))+(0)+((((('01_Inputs'!$C$5)*('01_Inputs'!$C$8)))*('01_Inputs'!$D$48)*('01_Inputs'!$C$16)))))=0,"",((1)*((2*((('01_Inputs'!$C$5)*('01_Inputs'!$C$8)))*((('01_Inputs'!$B$48)*('01_Inputs'!$C$48)+('01_Inputs'!$C$48)*('01_Inputs'!$D$48)))+((('01_Inputs'!$C$5)*('01_Inputs'!$C$8)))*(('01_Inputs'!$C$39)*('01_Inputs'!$C$48)+('01_Inputs'!$C$40)*('01_Inputs'!$D$48)))))/(((1)*(((((('01_Inputs'!$C$5)*('01_Inputs'!$C$8)))*('01_Inputs'!$B$48)*('01_Inputs'!$C$16)))+(0)+((((('01_Inputs'!$C$5)*('01_Inputs'!$C$8)))*('01_Inputs'!$D$48)*('01_Inputs'!$C$16)))))))</x:f>
        <x:v>16386.5</x:v>
      </x:c>
      <x:c r="O18" s="66" t="n">
        <x:f>((1)*((2*((('01_Inputs'!$C$5)*('01_Inputs'!$C$8)))*((('01_Inputs'!$B$48)*('01_Inputs'!$C$48)+('01_Inputs'!$C$48)*('01_Inputs'!$D$48)))+((('01_Inputs'!$C$5)*('01_Inputs'!$C$8)))*(('01_Inputs'!$C$39)*('01_Inputs'!$C$48)+('01_Inputs'!$C$40)*('01_Inputs'!$D$48))))/(('01_Inputs'!$C$33)*('02_HW'!$C$6))*('02_HW'!$C$10))</x:f>
        <x:v>3.8133659295570004</x:v>
      </x:c>
      <x:c r="P18" s="66" t="n">
        <x:f>((1)*(((((('01_Inputs'!$C$5)*('01_Inputs'!$C$8)))*('01_Inputs'!$B$48)*('01_Inputs'!$C$16)))+(0)+((((('01_Inputs'!$C$5)*('01_Inputs'!$C$8)))*('01_Inputs'!$D$48)*('01_Inputs'!$C$16))))/(('01_Inputs'!$C$34)*('02_HW'!$C$7))*('02_HW'!$C$10))</x:f>
        <x:v>0.1451002464864865</x:v>
      </x:c>
      <x:c r="Q18" s="66" t="n">
        <x:f>(MAX(((1)*((2*((('01_Inputs'!$C$5)*('01_Inputs'!$C$8)))*((('01_Inputs'!$B$48)*('01_Inputs'!$C$48)+('01_Inputs'!$C$48)*('01_Inputs'!$D$48)))+((('01_Inputs'!$C$5)*('01_Inputs'!$C$8)))*(('01_Inputs'!$C$39)*('01_Inputs'!$C$48)+('01_Inputs'!$C$40)*('01_Inputs'!$D$48))))/(('01_Inputs'!$C$33)*('02_HW'!$C$6))*('02_HW'!$C$10)),((1)*(((((('01_Inputs'!$C$5)*('01_Inputs'!$C$8)))*('01_Inputs'!$B$48)*('01_Inputs'!$C$16)))+(0)+((((('01_Inputs'!$C$5)*('01_Inputs'!$C$8)))*('01_Inputs'!$D$48)*('01_Inputs'!$C$16))))/(('01_Inputs'!$C$34)*('02_HW'!$C$7))*('02_HW'!$C$10)))+(1)*('02_HW'!$C$9)*('02_HW'!$C$10))</x:f>
        <x:v>3.8133659295570004</x:v>
      </x:c>
      <x:c r="R18" s="21" t="str">
        <x:f>IF(O18&gt;P18,"compute",IF(P18&gt;O18,"memory","balanced"))</x:f>
        <x:v>compute</x:v>
      </x:c>
      <x:c r="S18" s="24" t="str">
        <x:v>Prediction term for the inner loss.</x:v>
      </x:c>
    </x:row>
    <x:row r="19">
      <x:c r="A19" s="21" t="n">
        <x:f>ROW()-5</x:f>
        <x:v>14</x:v>
      </x:c>
      <x:c r="B19" s="21" t="str">
        <x:v>prefill</x:v>
      </x:c>
      <x:c r="C19" s="21" t="str">
        <x:v>loss</x:v>
      </x:c>
      <x:c r="D19" s="21" t="str">
        <x:v>M_v_target_forward</x:v>
      </x:c>
      <x:c r="E19" s="24" t="str">
        <x:v>Ffwd(N)</x:v>
      </x:c>
      <x:c r="F19" s="66" t="n">
        <x:f>1</x:f>
        <x:v>1</x:v>
      </x:c>
      <x:c r="G19" s="69" t="n">
        <x:f>(2*((('01_Inputs'!$C$5)*('01_Inputs'!$C$8)))*((('01_Inputs'!$B$49)*('01_Inputs'!$C$49)+('01_Inputs'!$C$49)*('01_Inputs'!$D$49)))+((('01_Inputs'!$C$5)*('01_Inputs'!$C$8)))*(('01_Inputs'!$C$39)*('01_Inputs'!$C$49)+('01_Inputs'!$C$40)*('01_Inputs'!$D$49)))</x:f>
        <x:v>17594870398976</x:v>
      </x:c>
      <x:c r="H19" s="69" t="n">
        <x:f>(((((('01_Inputs'!$C$5)*('01_Inputs'!$C$8)))*('01_Inputs'!$B$49)*('01_Inputs'!$C$16)))+('01_Inputs'!$C$5)*((('01_Inputs'!$B$49)*('01_Inputs'!$C$49)+('01_Inputs'!$C$49)*('01_Inputs'!$D$49)))*('01_Inputs'!$C$37)*('01_Inputs'!$H$49))</x:f>
        <x:v>4831838208</x:v>
      </x:c>
      <x:c r="I19" s="69" t="n">
        <x:f>0</x:f>
        <x:v>0</x:v>
      </x:c>
      <x:c r="J19" s="69" t="n">
        <x:f>(((('01_Inputs'!$C$5)*('01_Inputs'!$C$8)))*('01_Inputs'!$D$49)*('01_Inputs'!$C$16))</x:f>
        <x:v>536870912</x:v>
      </x:c>
      <x:c r="K19" s="69" t="n">
        <x:f>(1)*((((((('01_Inputs'!$C$5)*('01_Inputs'!$C$8)))*('01_Inputs'!$B$49)*('01_Inputs'!$C$16)))+('01_Inputs'!$C$5)*((('01_Inputs'!$B$49)*('01_Inputs'!$C$49)+('01_Inputs'!$C$49)*('01_Inputs'!$D$49)))*('01_Inputs'!$C$37)*('01_Inputs'!$H$49)))</x:f>
        <x:v>4831838208</x:v>
      </x:c>
      <x:c r="L19" s="69" t="n">
        <x:f>(1)*((0)+((((('01_Inputs'!$C$5)*('01_Inputs'!$C$8)))*('01_Inputs'!$D$49)*('01_Inputs'!$C$16))))</x:f>
        <x:v>536870912</x:v>
      </x:c>
      <x:c r="M19" s="69" t="n">
        <x:f>(('01_Inputs'!$C$5)*((('01_Inputs'!$B$49)*('01_Inputs'!$C$49)+('01_Inputs'!$C$49)*('01_Inputs'!$D$49)))*(('01_Inputs'!$C$37)+('01_Inputs'!$F$49)*('01_Inputs'!$C$38)))</x:f>
        <x:v>21474836480</x:v>
      </x:c>
      <x:c r="N19" s="66" t="n">
        <x:f>IF(((1)*(((((((('01_Inputs'!$C$5)*('01_Inputs'!$C$8)))*('01_Inputs'!$B$49)*('01_Inputs'!$C$16)))+('01_Inputs'!$C$5)*((('01_Inputs'!$B$49)*('01_Inputs'!$C$49)+('01_Inputs'!$C$49)*('01_Inputs'!$D$49)))*('01_Inputs'!$C$37)*('01_Inputs'!$H$49)))+(0)+((((('01_Inputs'!$C$5)*('01_Inputs'!$C$8)))*('01_Inputs'!$D$49)*('01_Inputs'!$C$16)))))=0,"",((1)*((2*((('01_Inputs'!$C$5)*('01_Inputs'!$C$8)))*((('01_Inputs'!$B$49)*('01_Inputs'!$C$49)+('01_Inputs'!$C$49)*('01_Inputs'!$D$49)))+((('01_Inputs'!$C$5)*('01_Inputs'!$C$8)))*(('01_Inputs'!$C$39)*('01_Inputs'!$C$49)+('01_Inputs'!$C$40)*('01_Inputs'!$D$49)))))/(((1)*(((((((('01_Inputs'!$C$5)*('01_Inputs'!$C$8)))*('01_Inputs'!$B$49)*('01_Inputs'!$C$16)))+('01_Inputs'!$C$5)*((('01_Inputs'!$B$49)*('01_Inputs'!$C$49)+('01_Inputs'!$C$49)*('01_Inputs'!$D$49)))*('01_Inputs'!$C$37)*('01_Inputs'!$H$49)))+(0)+((((('01_Inputs'!$C$5)*('01_Inputs'!$C$8)))*('01_Inputs'!$D$49)*('01_Inputs'!$C$16)))))))</x:f>
        <x:v>3277.3</x:v>
      </x:c>
      <x:c r="O19" s="66" t="n">
        <x:f>((1)*((2*((('01_Inputs'!$C$5)*('01_Inputs'!$C$8)))*((('01_Inputs'!$B$49)*('01_Inputs'!$C$49)+('01_Inputs'!$C$49)*('01_Inputs'!$D$49)))+((('01_Inputs'!$C$5)*('01_Inputs'!$C$8)))*(('01_Inputs'!$C$39)*('01_Inputs'!$C$49)+('01_Inputs'!$C$40)*('01_Inputs'!$D$49))))/(('01_Inputs'!$C$33)*('02_HW'!$C$6))*('02_HW'!$C$10))</x:f>
        <x:v>3.8133659295570004</x:v>
      </x:c>
      <x:c r="P19" s="66" t="n">
        <x:f>((1)*(((((((('01_Inputs'!$C$5)*('01_Inputs'!$C$8)))*('01_Inputs'!$B$49)*('01_Inputs'!$C$16)))+('01_Inputs'!$C$5)*((('01_Inputs'!$B$49)*('01_Inputs'!$C$49)+('01_Inputs'!$C$49)*('01_Inputs'!$D$49)))*('01_Inputs'!$C$37)*('01_Inputs'!$H$49)))+(0)+((((('01_Inputs'!$C$5)*('01_Inputs'!$C$8)))*('01_Inputs'!$D$49)*('01_Inputs'!$C$16))))/(('01_Inputs'!$C$34)*('02_HW'!$C$7))*('02_HW'!$C$10))</x:f>
        <x:v>0.7255012324324324</x:v>
      </x:c>
      <x:c r="Q19" s="66" t="n">
        <x:f>(MAX(((1)*((2*((('01_Inputs'!$C$5)*('01_Inputs'!$C$8)))*((('01_Inputs'!$B$49)*('01_Inputs'!$C$49)+('01_Inputs'!$C$49)*('01_Inputs'!$D$49)))+((('01_Inputs'!$C$5)*('01_Inputs'!$C$8)))*(('01_Inputs'!$C$39)*('01_Inputs'!$C$49)+('01_Inputs'!$C$40)*('01_Inputs'!$D$49))))/(('01_Inputs'!$C$33)*('02_HW'!$C$6))*('02_HW'!$C$10)),((1)*(((((((('01_Inputs'!$C$5)*('01_Inputs'!$C$8)))*('01_Inputs'!$B$49)*('01_Inputs'!$C$16)))+('01_Inputs'!$C$5)*((('01_Inputs'!$B$49)*('01_Inputs'!$C$49)+('01_Inputs'!$C$49)*('01_Inputs'!$D$49)))*('01_Inputs'!$C$37)*('01_Inputs'!$H$49)))+(0)+((((('01_Inputs'!$C$5)*('01_Inputs'!$C$8)))*('01_Inputs'!$D$49)*('01_Inputs'!$C$16))))/(('01_Inputs'!$C$34)*('02_HW'!$C$7))*('02_HW'!$C$10)))+(1)*('02_HW'!$C$9)*('02_HW'!$C$10))</x:f>
        <x:v>3.8133659295570004</x:v>
      </x:c>
      <x:c r="R19" s="21" t="str">
        <x:f>IF(O19&gt;P19,"compute",IF(P19&gt;O19,"memory","balanced"))</x:f>
        <x:v>compute</x:v>
      </x:c>
      <x:c r="S19" s="24" t="str">
        <x:v>Auxiliary self-target/loss preparation; not a direct block forward output.</x:v>
      </x:c>
    </x:row>
    <x:row r="20">
      <x:c r="A20" s="21" t="n">
        <x:f>ROW()-5</x:f>
        <x:v>15</x:v>
      </x:c>
      <x:c r="B20" s="21" t="str">
        <x:v>prefill</x:v>
      </x:c>
      <x:c r="C20" s="21" t="str">
        <x:v>loss</x:v>
      </x:c>
      <x:c r="D20" s="21" t="str">
        <x:v>M_v_prediction_forward</x:v>
      </x:c>
      <x:c r="E20" s="24" t="str">
        <x:v>Ffwd(N)</x:v>
      </x:c>
      <x:c r="F20" s="66" t="n">
        <x:f>1</x:f>
        <x:v>1</x:v>
      </x:c>
      <x:c r="G20" s="69" t="n">
        <x:f>(2*((('01_Inputs'!$C$5)*('01_Inputs'!$C$8)))*((('01_Inputs'!$B$49)*('01_Inputs'!$C$49)+('01_Inputs'!$C$49)*('01_Inputs'!$D$49)))+((('01_Inputs'!$C$5)*('01_Inputs'!$C$8)))*(('01_Inputs'!$C$39)*('01_Inputs'!$C$49)+('01_Inputs'!$C$40)*('01_Inputs'!$D$49)))</x:f>
        <x:v>17594870398976</x:v>
      </x:c>
      <x:c r="H20" s="69" t="n">
        <x:f>(((('01_Inputs'!$C$5)*('01_Inputs'!$C$8)))*('01_Inputs'!$B$49)*('01_Inputs'!$C$16))</x:f>
        <x:v>536870912</x:v>
      </x:c>
      <x:c r="I20" s="69" t="n">
        <x:f>0</x:f>
        <x:v>0</x:v>
      </x:c>
      <x:c r="J20" s="69" t="n">
        <x:f>(((('01_Inputs'!$C$5)*('01_Inputs'!$C$8)))*('01_Inputs'!$D$49)*('01_Inputs'!$C$16))</x:f>
        <x:v>536870912</x:v>
      </x:c>
      <x:c r="K20" s="69" t="n">
        <x:f>(1)*((((('01_Inputs'!$C$5)*('01_Inputs'!$C$8)))*('01_Inputs'!$B$49)*('01_Inputs'!$C$16)))</x:f>
        <x:v>536870912</x:v>
      </x:c>
      <x:c r="L20" s="69" t="n">
        <x:f>(1)*((0)+((((('01_Inputs'!$C$5)*('01_Inputs'!$C$8)))*('01_Inputs'!$D$49)*('01_Inputs'!$C$16))))</x:f>
        <x:v>536870912</x:v>
      </x:c>
      <x:c r="M20" s="69" t="n">
        <x:f>0</x:f>
        <x:v>0</x:v>
      </x:c>
      <x:c r="N20" s="66" t="n">
        <x:f>IF(((1)*(((((('01_Inputs'!$C$5)*('01_Inputs'!$C$8)))*('01_Inputs'!$B$49)*('01_Inputs'!$C$16)))+(0)+((((('01_Inputs'!$C$5)*('01_Inputs'!$C$8)))*('01_Inputs'!$D$49)*('01_Inputs'!$C$16)))))=0,"",((1)*((2*((('01_Inputs'!$C$5)*('01_Inputs'!$C$8)))*((('01_Inputs'!$B$49)*('01_Inputs'!$C$49)+('01_Inputs'!$C$49)*('01_Inputs'!$D$49)))+((('01_Inputs'!$C$5)*('01_Inputs'!$C$8)))*(('01_Inputs'!$C$39)*('01_Inputs'!$C$49)+('01_Inputs'!$C$40)*('01_Inputs'!$D$49)))))/(((1)*(((((('01_Inputs'!$C$5)*('01_Inputs'!$C$8)))*('01_Inputs'!$B$49)*('01_Inputs'!$C$16)))+(0)+((((('01_Inputs'!$C$5)*('01_Inputs'!$C$8)))*('01_Inputs'!$D$49)*('01_Inputs'!$C$16)))))))</x:f>
        <x:v>16386.5</x:v>
      </x:c>
      <x:c r="O20" s="66" t="n">
        <x:f>((1)*((2*((('01_Inputs'!$C$5)*('01_Inputs'!$C$8)))*((('01_Inputs'!$B$49)*('01_Inputs'!$C$49)+('01_Inputs'!$C$49)*('01_Inputs'!$D$49)))+((('01_Inputs'!$C$5)*('01_Inputs'!$C$8)))*(('01_Inputs'!$C$39)*('01_Inputs'!$C$49)+('01_Inputs'!$C$40)*('01_Inputs'!$D$49))))/(('01_Inputs'!$C$33)*('02_HW'!$C$6))*('02_HW'!$C$10))</x:f>
        <x:v>3.8133659295570004</x:v>
      </x:c>
      <x:c r="P20" s="66" t="n">
        <x:f>((1)*(((((('01_Inputs'!$C$5)*('01_Inputs'!$C$8)))*('01_Inputs'!$B$49)*('01_Inputs'!$C$16)))+(0)+((((('01_Inputs'!$C$5)*('01_Inputs'!$C$8)))*('01_Inputs'!$D$49)*('01_Inputs'!$C$16))))/(('01_Inputs'!$C$34)*('02_HW'!$C$7))*('02_HW'!$C$10))</x:f>
        <x:v>0.1451002464864865</x:v>
      </x:c>
      <x:c r="Q20" s="66" t="n">
        <x:f>(MAX(((1)*((2*((('01_Inputs'!$C$5)*('01_Inputs'!$C$8)))*((('01_Inputs'!$B$49)*('01_Inputs'!$C$49)+('01_Inputs'!$C$49)*('01_Inputs'!$D$49)))+((('01_Inputs'!$C$5)*('01_Inputs'!$C$8)))*(('01_Inputs'!$C$39)*('01_Inputs'!$C$49)+('01_Inputs'!$C$40)*('01_Inputs'!$D$49))))/(('01_Inputs'!$C$33)*('02_HW'!$C$6))*('02_HW'!$C$10)),((1)*(((((('01_Inputs'!$C$5)*('01_Inputs'!$C$8)))*('01_Inputs'!$B$49)*('01_Inputs'!$C$16)))+(0)+((((('01_Inputs'!$C$5)*('01_Inputs'!$C$8)))*('01_Inputs'!$D$49)*('01_Inputs'!$C$16))))/(('01_Inputs'!$C$34)*('02_HW'!$C$7))*('02_HW'!$C$10)))+(1)*('02_HW'!$C$9)*('02_HW'!$C$10))</x:f>
        <x:v>3.8133659295570004</x:v>
      </x:c>
      <x:c r="R20" s="21" t="str">
        <x:f>IF(O20&gt;P20,"compute",IF(P20&gt;O20,"memory","balanced"))</x:f>
        <x:v>compute</x:v>
      </x:c>
      <x:c r="S20" s="24" t="str">
        <x:v>Prediction term for the inner loss.</x:v>
      </x:c>
    </x:row>
    <x:row r="21">
      <x:c r="A21" s="21" t="n">
        <x:f>ROW()-5</x:f>
        <x:v>16</x:v>
      </x:c>
      <x:c r="B21" s="21" t="str">
        <x:v>prefill</x:v>
      </x:c>
      <x:c r="C21" s="21" t="str">
        <x:v>loss</x:v>
      </x:c>
      <x:c r="D21" s="21" t="str">
        <x:v>M_eta_target_forward</x:v>
      </x:c>
      <x:c r="E21" s="24" t="str">
        <x:v>Ffwd(N)</x:v>
      </x:c>
      <x:c r="F21" s="66" t="n">
        <x:f>1</x:f>
        <x:v>1</x:v>
      </x:c>
      <x:c r="G21" s="69" t="n">
        <x:f>(2*((('01_Inputs'!$C$5)*('01_Inputs'!$C$8)))*((('01_Inputs'!$B$50)*('01_Inputs'!$C$50)+('01_Inputs'!$C$50)*('01_Inputs'!$D$50)))+((('01_Inputs'!$C$5)*('01_Inputs'!$C$8)))*(('01_Inputs'!$C$39)*('01_Inputs'!$C$50)+('01_Inputs'!$C$40)*('01_Inputs'!$D$50)))</x:f>
        <x:v>8799314313216</x:v>
      </x:c>
      <x:c r="H21" s="69" t="n">
        <x:f>(((((('01_Inputs'!$C$5)*('01_Inputs'!$C$8)))*('01_Inputs'!$B$50)*('01_Inputs'!$C$16)))+('01_Inputs'!$C$5)*((('01_Inputs'!$B$50)*('01_Inputs'!$C$50)+('01_Inputs'!$C$50)*('01_Inputs'!$D$50)))*('01_Inputs'!$C$37)*('01_Inputs'!$H$50))</x:f>
        <x:v>2684616704</x:v>
      </x:c>
      <x:c r="I21" s="69" t="n">
        <x:f>0</x:f>
        <x:v>0</x:v>
      </x:c>
      <x:c r="J21" s="69" t="n">
        <x:f>(((('01_Inputs'!$C$5)*('01_Inputs'!$C$8)))*('01_Inputs'!$D$50)*('01_Inputs'!$C$16))</x:f>
        <x:v>65536</x:v>
      </x:c>
      <x:c r="K21" s="69" t="n">
        <x:f>(1)*((((((('01_Inputs'!$C$5)*('01_Inputs'!$C$8)))*('01_Inputs'!$B$50)*('01_Inputs'!$C$16)))+('01_Inputs'!$C$5)*((('01_Inputs'!$B$50)*('01_Inputs'!$C$50)+('01_Inputs'!$C$50)*('01_Inputs'!$D$50)))*('01_Inputs'!$C$37)*('01_Inputs'!$H$50)))</x:f>
        <x:v>2684616704</x:v>
      </x:c>
      <x:c r="L21" s="69" t="n">
        <x:f>(1)*((0)+((((('01_Inputs'!$C$5)*('01_Inputs'!$C$8)))*('01_Inputs'!$D$50)*('01_Inputs'!$C$16))))</x:f>
        <x:v>65536</x:v>
      </x:c>
      <x:c r="M21" s="69" t="n">
        <x:f>(('01_Inputs'!$C$5)*((('01_Inputs'!$B$50)*('01_Inputs'!$C$50)+('01_Inputs'!$C$50)*('01_Inputs'!$D$50)))*(('01_Inputs'!$C$37)+('01_Inputs'!$F$50)*('01_Inputs'!$C$38)))</x:f>
        <x:v>10738728960</x:v>
      </x:c>
      <x:c r="N21" s="66" t="n">
        <x:f>IF(((1)*(((((((('01_Inputs'!$C$5)*('01_Inputs'!$C$8)))*('01_Inputs'!$B$50)*('01_Inputs'!$C$16)))+('01_Inputs'!$C$5)*((('01_Inputs'!$B$50)*('01_Inputs'!$C$50)+('01_Inputs'!$C$50)*('01_Inputs'!$D$50)))*('01_Inputs'!$C$37)*('01_Inputs'!$H$50)))+(0)+((((('01_Inputs'!$C$5)*('01_Inputs'!$C$8)))*('01_Inputs'!$D$50)*('01_Inputs'!$C$16)))))=0,"",((1)*((2*((('01_Inputs'!$C$5)*('01_Inputs'!$C$8)))*((('01_Inputs'!$B$50)*('01_Inputs'!$C$50)+('01_Inputs'!$C$50)*('01_Inputs'!$D$50)))+((('01_Inputs'!$C$5)*('01_Inputs'!$C$8)))*(('01_Inputs'!$C$39)*('01_Inputs'!$C$50)+('01_Inputs'!$C$40)*('01_Inputs'!$D$50)))))/(((1)*(((((((('01_Inputs'!$C$5)*('01_Inputs'!$C$8)))*('01_Inputs'!$B$50)*('01_Inputs'!$C$16)))+('01_Inputs'!$C$5)*((('01_Inputs'!$B$50)*('01_Inputs'!$C$50)+('01_Inputs'!$C$50)*('01_Inputs'!$D$50)))*('01_Inputs'!$C$37)*('01_Inputs'!$H$50)))+(0)+((((('01_Inputs'!$C$5)*('01_Inputs'!$C$8)))*('01_Inputs'!$D$50)*('01_Inputs'!$C$16)))))))</x:f>
        <x:v>3277.599926766752</x:v>
      </x:c>
      <x:c r="O21" s="66" t="n">
        <x:f>((1)*((2*((('01_Inputs'!$C$5)*('01_Inputs'!$C$8)))*((('01_Inputs'!$B$50)*('01_Inputs'!$C$50)+('01_Inputs'!$C$50)*('01_Inputs'!$D$50)))+((('01_Inputs'!$C$5)*('01_Inputs'!$C$8)))*(('01_Inputs'!$C$39)*('01_Inputs'!$C$50)+('01_Inputs'!$C$40)*('01_Inputs'!$D$50))))/(('01_Inputs'!$C$33)*('02_HW'!$C$6))*('02_HW'!$C$10))</x:f>
        <x:v>1.9070902282652797</x:v>
      </x:c>
      <x:c r="P21" s="66" t="n">
        <x:f>((1)*(((((((('01_Inputs'!$C$5)*('01_Inputs'!$C$8)))*('01_Inputs'!$B$50)*('01_Inputs'!$C$16)))+('01_Inputs'!$C$5)*((('01_Inputs'!$B$50)*('01_Inputs'!$C$50)+('01_Inputs'!$C$50)*('01_Inputs'!$D$50)))*('01_Inputs'!$C$37)*('01_Inputs'!$H$50)))+(0)+((((('01_Inputs'!$C$5)*('01_Inputs'!$C$8)))*('01_Inputs'!$D$50)*('01_Inputs'!$C$16))))/(('01_Inputs'!$C$34)*('02_HW'!$C$7))*('02_HW'!$C$10))</x:f>
        <x:v>0.3627948972972973</x:v>
      </x:c>
      <x:c r="Q21" s="66" t="n">
        <x:f>(MAX(((1)*((2*((('01_Inputs'!$C$5)*('01_Inputs'!$C$8)))*((('01_Inputs'!$B$50)*('01_Inputs'!$C$50)+('01_Inputs'!$C$50)*('01_Inputs'!$D$50)))+((('01_Inputs'!$C$5)*('01_Inputs'!$C$8)))*(('01_Inputs'!$C$39)*('01_Inputs'!$C$50)+('01_Inputs'!$C$40)*('01_Inputs'!$D$50))))/(('01_Inputs'!$C$33)*('02_HW'!$C$6))*('02_HW'!$C$10)),((1)*(((((((('01_Inputs'!$C$5)*('01_Inputs'!$C$8)))*('01_Inputs'!$B$50)*('01_Inputs'!$C$16)))+('01_Inputs'!$C$5)*((('01_Inputs'!$B$50)*('01_Inputs'!$C$50)+('01_Inputs'!$C$50)*('01_Inputs'!$D$50)))*('01_Inputs'!$C$37)*('01_Inputs'!$H$50)))+(0)+((((('01_Inputs'!$C$5)*('01_Inputs'!$C$8)))*('01_Inputs'!$D$50)*('01_Inputs'!$C$16))))/(('01_Inputs'!$C$34)*('02_HW'!$C$7))*('02_HW'!$C$10)))+(1)*('02_HW'!$C$9)*('02_HW'!$C$10))</x:f>
        <x:v>1.9070902282652797</x:v>
      </x:c>
      <x:c r="R21" s="21" t="str">
        <x:f>IF(O21&gt;P21,"compute",IF(P21&gt;O21,"memory","balanced"))</x:f>
        <x:v>compute</x:v>
      </x:c>
      <x:c r="S21" s="24" t="str">
        <x:v>Auxiliary self-target/loss preparation; not a direct block forward output.</x:v>
      </x:c>
    </x:row>
    <x:row r="22">
      <x:c r="A22" s="21" t="n">
        <x:f>ROW()-5</x:f>
        <x:v>17</x:v>
      </x:c>
      <x:c r="B22" s="21" t="str">
        <x:v>prefill</x:v>
      </x:c>
      <x:c r="C22" s="21" t="str">
        <x:v>loss</x:v>
      </x:c>
      <x:c r="D22" s="21" t="str">
        <x:v>M_eta_prediction_forward</x:v>
      </x:c>
      <x:c r="E22" s="24" t="str">
        <x:v>Ffwd(N)</x:v>
      </x:c>
      <x:c r="F22" s="66" t="n">
        <x:f>1</x:f>
        <x:v>1</x:v>
      </x:c>
      <x:c r="G22" s="69" t="n">
        <x:f>(2*((('01_Inputs'!$C$5)*('01_Inputs'!$C$8)))*((('01_Inputs'!$B$50)*('01_Inputs'!$C$50)+('01_Inputs'!$C$50)*('01_Inputs'!$D$50)))+((('01_Inputs'!$C$5)*('01_Inputs'!$C$8)))*(('01_Inputs'!$C$39)*('01_Inputs'!$C$50)+('01_Inputs'!$C$40)*('01_Inputs'!$D$50)))</x:f>
        <x:v>8799314313216</x:v>
      </x:c>
      <x:c r="H22" s="69" t="n">
        <x:f>(((('01_Inputs'!$C$5)*('01_Inputs'!$C$8)))*('01_Inputs'!$B$50)*('01_Inputs'!$C$16))</x:f>
        <x:v>536870912</x:v>
      </x:c>
      <x:c r="I22" s="69" t="n">
        <x:f>0</x:f>
        <x:v>0</x:v>
      </x:c>
      <x:c r="J22" s="69" t="n">
        <x:f>(((('01_Inputs'!$C$5)*('01_Inputs'!$C$8)))*('01_Inputs'!$D$50)*('01_Inputs'!$C$16))</x:f>
        <x:v>65536</x:v>
      </x:c>
      <x:c r="K22" s="69" t="n">
        <x:f>(1)*((((('01_Inputs'!$C$5)*('01_Inputs'!$C$8)))*('01_Inputs'!$B$50)*('01_Inputs'!$C$16)))</x:f>
        <x:v>536870912</x:v>
      </x:c>
      <x:c r="L22" s="69" t="n">
        <x:f>(1)*((0)+((((('01_Inputs'!$C$5)*('01_Inputs'!$C$8)))*('01_Inputs'!$D$50)*('01_Inputs'!$C$16))))</x:f>
        <x:v>65536</x:v>
      </x:c>
      <x:c r="M22" s="69" t="n">
        <x:f>0</x:f>
        <x:v>0</x:v>
      </x:c>
      <x:c r="N22" s="66" t="n">
        <x:f>IF(((1)*(((((('01_Inputs'!$C$5)*('01_Inputs'!$C$8)))*('01_Inputs'!$B$50)*('01_Inputs'!$C$16)))+(0)+((((('01_Inputs'!$C$5)*('01_Inputs'!$C$8)))*('01_Inputs'!$D$50)*('01_Inputs'!$C$16)))))=0,"",((1)*((2*((('01_Inputs'!$C$5)*('01_Inputs'!$C$8)))*((('01_Inputs'!$B$50)*('01_Inputs'!$C$50)+('01_Inputs'!$C$50)*('01_Inputs'!$D$50)))+((('01_Inputs'!$C$5)*('01_Inputs'!$C$8)))*(('01_Inputs'!$C$39)*('01_Inputs'!$C$50)+('01_Inputs'!$C$40)*('01_Inputs'!$D$50)))))/(((1)*(((((('01_Inputs'!$C$5)*('01_Inputs'!$C$8)))*('01_Inputs'!$B$50)*('01_Inputs'!$C$16)))+(0)+((((('01_Inputs'!$C$5)*('01_Inputs'!$C$8)))*('01_Inputs'!$D$50)*('01_Inputs'!$C$16)))))))</x:f>
        <x:v>16387.999633833762</x:v>
      </x:c>
      <x:c r="O22" s="66" t="n">
        <x:f>((1)*((2*((('01_Inputs'!$C$5)*('01_Inputs'!$C$8)))*((('01_Inputs'!$B$50)*('01_Inputs'!$C$50)+('01_Inputs'!$C$50)*('01_Inputs'!$D$50)))+((('01_Inputs'!$C$5)*('01_Inputs'!$C$8)))*(('01_Inputs'!$C$39)*('01_Inputs'!$C$50)+('01_Inputs'!$C$40)*('01_Inputs'!$D$50))))/(('01_Inputs'!$C$33)*('02_HW'!$C$6))*('02_HW'!$C$10))</x:f>
        <x:v>1.9070902282652797</x:v>
      </x:c>
      <x:c r="P22" s="66" t="n">
        <x:f>((1)*(((((('01_Inputs'!$C$5)*('01_Inputs'!$C$8)))*('01_Inputs'!$B$50)*('01_Inputs'!$C$16)))+(0)+((((('01_Inputs'!$C$5)*('01_Inputs'!$C$8)))*('01_Inputs'!$D$50)*('01_Inputs'!$C$16))))/(('01_Inputs'!$C$34)*('02_HW'!$C$7))*('02_HW'!$C$10))</x:f>
        <x:v>0.07255897945945945</x:v>
      </x:c>
      <x:c r="Q22" s="66" t="n">
        <x:f>(MAX(((1)*((2*((('01_Inputs'!$C$5)*('01_Inputs'!$C$8)))*((('01_Inputs'!$B$50)*('01_Inputs'!$C$50)+('01_Inputs'!$C$50)*('01_Inputs'!$D$50)))+((('01_Inputs'!$C$5)*('01_Inputs'!$C$8)))*(('01_Inputs'!$C$39)*('01_Inputs'!$C$50)+('01_Inputs'!$C$40)*('01_Inputs'!$D$50))))/(('01_Inputs'!$C$33)*('02_HW'!$C$6))*('02_HW'!$C$10)),((1)*(((((('01_Inputs'!$C$5)*('01_Inputs'!$C$8)))*('01_Inputs'!$B$50)*('01_Inputs'!$C$16)))+(0)+((((('01_Inputs'!$C$5)*('01_Inputs'!$C$8)))*('01_Inputs'!$D$50)*('01_Inputs'!$C$16))))/(('01_Inputs'!$C$34)*('02_HW'!$C$7))*('02_HW'!$C$10)))+(1)*('02_HW'!$C$9)*('02_HW'!$C$10))</x:f>
        <x:v>1.9070902282652797</x:v>
      </x:c>
      <x:c r="R22" s="21" t="str">
        <x:f>IF(O22&gt;P22,"compute",IF(P22&gt;O22,"memory","balanced"))</x:f>
        <x:v>compute</x:v>
      </x:c>
      <x:c r="S22" s="24" t="str">
        <x:v>Prediction term for the inner loss.</x:v>
      </x:c>
    </x:row>
    <x:row r="23">
      <x:c r="A23" s="21" t="n">
        <x:f>ROW()-5</x:f>
        <x:v>18</x:v>
      </x:c>
      <x:c r="B23" s="21" t="str">
        <x:v>prefill</x:v>
      </x:c>
      <x:c r="C23" s="21" t="str">
        <x:v>loss</x:v>
      </x:c>
      <x:c r="D23" s="21" t="str">
        <x:v>M_alpha_target_forward</x:v>
      </x:c>
      <x:c r="E23" s="24" t="str">
        <x:v>Ffwd(N)</x:v>
      </x:c>
      <x:c r="F23" s="66" t="n">
        <x:f>1</x:f>
        <x:v>1</x:v>
      </x:c>
      <x:c r="G23" s="69" t="n">
        <x:f>(2*((('01_Inputs'!$C$5)*('01_Inputs'!$C$8)))*((('01_Inputs'!$B$51)*('01_Inputs'!$C$51)+('01_Inputs'!$C$51)*('01_Inputs'!$D$51)))+((('01_Inputs'!$C$5)*('01_Inputs'!$C$8)))*(('01_Inputs'!$C$39)*('01_Inputs'!$C$51)+('01_Inputs'!$C$40)*('01_Inputs'!$D$51)))</x:f>
        <x:v>8799314313216</x:v>
      </x:c>
      <x:c r="H23" s="69" t="n">
        <x:f>(((((('01_Inputs'!$C$5)*('01_Inputs'!$C$8)))*('01_Inputs'!$B$51)*('01_Inputs'!$C$16)))+('01_Inputs'!$C$5)*((('01_Inputs'!$B$51)*('01_Inputs'!$C$51)+('01_Inputs'!$C$51)*('01_Inputs'!$D$51)))*('01_Inputs'!$C$37)*('01_Inputs'!$H$51))</x:f>
        <x:v>2684616704</x:v>
      </x:c>
      <x:c r="I23" s="69" t="n">
        <x:f>0</x:f>
        <x:v>0</x:v>
      </x:c>
      <x:c r="J23" s="69" t="n">
        <x:f>(((('01_Inputs'!$C$5)*('01_Inputs'!$C$8)))*('01_Inputs'!$D$51)*('01_Inputs'!$C$16))</x:f>
        <x:v>65536</x:v>
      </x:c>
      <x:c r="K23" s="69" t="n">
        <x:f>(1)*((((((('01_Inputs'!$C$5)*('01_Inputs'!$C$8)))*('01_Inputs'!$B$51)*('01_Inputs'!$C$16)))+('01_Inputs'!$C$5)*((('01_Inputs'!$B$51)*('01_Inputs'!$C$51)+('01_Inputs'!$C$51)*('01_Inputs'!$D$51)))*('01_Inputs'!$C$37)*('01_Inputs'!$H$51)))</x:f>
        <x:v>2684616704</x:v>
      </x:c>
      <x:c r="L23" s="69" t="n">
        <x:f>(1)*((0)+((((('01_Inputs'!$C$5)*('01_Inputs'!$C$8)))*('01_Inputs'!$D$51)*('01_Inputs'!$C$16))))</x:f>
        <x:v>65536</x:v>
      </x:c>
      <x:c r="M23" s="69" t="n">
        <x:f>(('01_Inputs'!$C$5)*((('01_Inputs'!$B$51)*('01_Inputs'!$C$51)+('01_Inputs'!$C$51)*('01_Inputs'!$D$51)))*(('01_Inputs'!$C$37)+('01_Inputs'!$F$51)*('01_Inputs'!$C$38)))</x:f>
        <x:v>10738728960</x:v>
      </x:c>
      <x:c r="N23" s="66" t="n">
        <x:f>IF(((1)*(((((((('01_Inputs'!$C$5)*('01_Inputs'!$C$8)))*('01_Inputs'!$B$51)*('01_Inputs'!$C$16)))+('01_Inputs'!$C$5)*((('01_Inputs'!$B$51)*('01_Inputs'!$C$51)+('01_Inputs'!$C$51)*('01_Inputs'!$D$51)))*('01_Inputs'!$C$37)*('01_Inputs'!$H$51)))+(0)+((((('01_Inputs'!$C$5)*('01_Inputs'!$C$8)))*('01_Inputs'!$D$51)*('01_Inputs'!$C$16)))))=0,"",((1)*((2*((('01_Inputs'!$C$5)*('01_Inputs'!$C$8)))*((('01_Inputs'!$B$51)*('01_Inputs'!$C$51)+('01_Inputs'!$C$51)*('01_Inputs'!$D$51)))+((('01_Inputs'!$C$5)*('01_Inputs'!$C$8)))*(('01_Inputs'!$C$39)*('01_Inputs'!$C$51)+('01_Inputs'!$C$40)*('01_Inputs'!$D$51)))))/(((1)*(((((((('01_Inputs'!$C$5)*('01_Inputs'!$C$8)))*('01_Inputs'!$B$51)*('01_Inputs'!$C$16)))+('01_Inputs'!$C$5)*((('01_Inputs'!$B$51)*('01_Inputs'!$C$51)+('01_Inputs'!$C$51)*('01_Inputs'!$D$51)))*('01_Inputs'!$C$37)*('01_Inputs'!$H$51)))+(0)+((((('01_Inputs'!$C$5)*('01_Inputs'!$C$8)))*('01_Inputs'!$D$51)*('01_Inputs'!$C$16)))))))</x:f>
        <x:v>3277.599926766752</x:v>
      </x:c>
      <x:c r="O23" s="66" t="n">
        <x:f>((1)*((2*((('01_Inputs'!$C$5)*('01_Inputs'!$C$8)))*((('01_Inputs'!$B$51)*('01_Inputs'!$C$51)+('01_Inputs'!$C$51)*('01_Inputs'!$D$51)))+((('01_Inputs'!$C$5)*('01_Inputs'!$C$8)))*(('01_Inputs'!$C$39)*('01_Inputs'!$C$51)+('01_Inputs'!$C$40)*('01_Inputs'!$D$51))))/(('01_Inputs'!$C$33)*('02_HW'!$C$6))*('02_HW'!$C$10))</x:f>
        <x:v>1.9070902282652797</x:v>
      </x:c>
      <x:c r="P23" s="66" t="n">
        <x:f>((1)*(((((((('01_Inputs'!$C$5)*('01_Inputs'!$C$8)))*('01_Inputs'!$B$51)*('01_Inputs'!$C$16)))+('01_Inputs'!$C$5)*((('01_Inputs'!$B$51)*('01_Inputs'!$C$51)+('01_Inputs'!$C$51)*('01_Inputs'!$D$51)))*('01_Inputs'!$C$37)*('01_Inputs'!$H$51)))+(0)+((((('01_Inputs'!$C$5)*('01_Inputs'!$C$8)))*('01_Inputs'!$D$51)*('01_Inputs'!$C$16))))/(('01_Inputs'!$C$34)*('02_HW'!$C$7))*('02_HW'!$C$10))</x:f>
        <x:v>0.3627948972972973</x:v>
      </x:c>
      <x:c r="Q23" s="66" t="n">
        <x:f>(MAX(((1)*((2*((('01_Inputs'!$C$5)*('01_Inputs'!$C$8)))*((('01_Inputs'!$B$51)*('01_Inputs'!$C$51)+('01_Inputs'!$C$51)*('01_Inputs'!$D$51)))+((('01_Inputs'!$C$5)*('01_Inputs'!$C$8)))*(('01_Inputs'!$C$39)*('01_Inputs'!$C$51)+('01_Inputs'!$C$40)*('01_Inputs'!$D$51))))/(('01_Inputs'!$C$33)*('02_HW'!$C$6))*('02_HW'!$C$10)),((1)*(((((((('01_Inputs'!$C$5)*('01_Inputs'!$C$8)))*('01_Inputs'!$B$51)*('01_Inputs'!$C$16)))+('01_Inputs'!$C$5)*((('01_Inputs'!$B$51)*('01_Inputs'!$C$51)+('01_Inputs'!$C$51)*('01_Inputs'!$D$51)))*('01_Inputs'!$C$37)*('01_Inputs'!$H$51)))+(0)+((((('01_Inputs'!$C$5)*('01_Inputs'!$C$8)))*('01_Inputs'!$D$51)*('01_Inputs'!$C$16))))/(('01_Inputs'!$C$34)*('02_HW'!$C$7))*('02_HW'!$C$10)))+(1)*('02_HW'!$C$9)*('02_HW'!$C$10))</x:f>
        <x:v>1.9070902282652797</x:v>
      </x:c>
      <x:c r="R23" s="21" t="str">
        <x:f>IF(O23&gt;P23,"compute",IF(P23&gt;O23,"memory","balanced"))</x:f>
        <x:v>compute</x:v>
      </x:c>
      <x:c r="S23" s="24" t="str">
        <x:v>Auxiliary self-target/loss preparation; not a direct block forward output.</x:v>
      </x:c>
    </x:row>
    <x:row r="24">
      <x:c r="A24" s="21" t="n">
        <x:f>ROW()-5</x:f>
        <x:v>19</x:v>
      </x:c>
      <x:c r="B24" s="21" t="str">
        <x:v>prefill</x:v>
      </x:c>
      <x:c r="C24" s="21" t="str">
        <x:v>loss</x:v>
      </x:c>
      <x:c r="D24" s="21" t="str">
        <x:v>M_alpha_prediction_forward</x:v>
      </x:c>
      <x:c r="E24" s="24" t="str">
        <x:v>Ffwd(N)</x:v>
      </x:c>
      <x:c r="F24" s="66" t="n">
        <x:f>1</x:f>
        <x:v>1</x:v>
      </x:c>
      <x:c r="G24" s="69" t="n">
        <x:f>(2*((('01_Inputs'!$C$5)*('01_Inputs'!$C$8)))*((('01_Inputs'!$B$51)*('01_Inputs'!$C$51)+('01_Inputs'!$C$51)*('01_Inputs'!$D$51)))+((('01_Inputs'!$C$5)*('01_Inputs'!$C$8)))*(('01_Inputs'!$C$39)*('01_Inputs'!$C$51)+('01_Inputs'!$C$40)*('01_Inputs'!$D$51)))</x:f>
        <x:v>8799314313216</x:v>
      </x:c>
      <x:c r="H24" s="69" t="n">
        <x:f>(((('01_Inputs'!$C$5)*('01_Inputs'!$C$8)))*('01_Inputs'!$B$51)*('01_Inputs'!$C$16))</x:f>
        <x:v>536870912</x:v>
      </x:c>
      <x:c r="I24" s="69" t="n">
        <x:f>0</x:f>
        <x:v>0</x:v>
      </x:c>
      <x:c r="J24" s="69" t="n">
        <x:f>(((('01_Inputs'!$C$5)*('01_Inputs'!$C$8)))*('01_Inputs'!$D$51)*('01_Inputs'!$C$16))</x:f>
        <x:v>65536</x:v>
      </x:c>
      <x:c r="K24" s="69" t="n">
        <x:f>(1)*((((('01_Inputs'!$C$5)*('01_Inputs'!$C$8)))*('01_Inputs'!$B$51)*('01_Inputs'!$C$16)))</x:f>
        <x:v>536870912</x:v>
      </x:c>
      <x:c r="L24" s="69" t="n">
        <x:f>(1)*((0)+((((('01_Inputs'!$C$5)*('01_Inputs'!$C$8)))*('01_Inputs'!$D$51)*('01_Inputs'!$C$16))))</x:f>
        <x:v>65536</x:v>
      </x:c>
      <x:c r="M24" s="69" t="n">
        <x:f>0</x:f>
        <x:v>0</x:v>
      </x:c>
      <x:c r="N24" s="66" t="n">
        <x:f>IF(((1)*(((((('01_Inputs'!$C$5)*('01_Inputs'!$C$8)))*('01_Inputs'!$B$51)*('01_Inputs'!$C$16)))+(0)+((((('01_Inputs'!$C$5)*('01_Inputs'!$C$8)))*('01_Inputs'!$D$51)*('01_Inputs'!$C$16)))))=0,"",((1)*((2*((('01_Inputs'!$C$5)*('01_Inputs'!$C$8)))*((('01_Inputs'!$B$51)*('01_Inputs'!$C$51)+('01_Inputs'!$C$51)*('01_Inputs'!$D$51)))+((('01_Inputs'!$C$5)*('01_Inputs'!$C$8)))*(('01_Inputs'!$C$39)*('01_Inputs'!$C$51)+('01_Inputs'!$C$40)*('01_Inputs'!$D$51)))))/(((1)*(((((('01_Inputs'!$C$5)*('01_Inputs'!$C$8)))*('01_Inputs'!$B$51)*('01_Inputs'!$C$16)))+(0)+((((('01_Inputs'!$C$5)*('01_Inputs'!$C$8)))*('01_Inputs'!$D$51)*('01_Inputs'!$C$16)))))))</x:f>
        <x:v>16387.999633833762</x:v>
      </x:c>
      <x:c r="O24" s="66" t="n">
        <x:f>((1)*((2*((('01_Inputs'!$C$5)*('01_Inputs'!$C$8)))*((('01_Inputs'!$B$51)*('01_Inputs'!$C$51)+('01_Inputs'!$C$51)*('01_Inputs'!$D$51)))+((('01_Inputs'!$C$5)*('01_Inputs'!$C$8)))*(('01_Inputs'!$C$39)*('01_Inputs'!$C$51)+('01_Inputs'!$C$40)*('01_Inputs'!$D$51))))/(('01_Inputs'!$C$33)*('02_HW'!$C$6))*('02_HW'!$C$10))</x:f>
        <x:v>1.9070902282652797</x:v>
      </x:c>
      <x:c r="P24" s="66" t="n">
        <x:f>((1)*(((((('01_Inputs'!$C$5)*('01_Inputs'!$C$8)))*('01_Inputs'!$B$51)*('01_Inputs'!$C$16)))+(0)+((((('01_Inputs'!$C$5)*('01_Inputs'!$C$8)))*('01_Inputs'!$D$51)*('01_Inputs'!$C$16))))/(('01_Inputs'!$C$34)*('02_HW'!$C$7))*('02_HW'!$C$10))</x:f>
        <x:v>0.07255897945945945</x:v>
      </x:c>
      <x:c r="Q24" s="66" t="n">
        <x:f>(MAX(((1)*((2*((('01_Inputs'!$C$5)*('01_Inputs'!$C$8)))*((('01_Inputs'!$B$51)*('01_Inputs'!$C$51)+('01_Inputs'!$C$51)*('01_Inputs'!$D$51)))+((('01_Inputs'!$C$5)*('01_Inputs'!$C$8)))*(('01_Inputs'!$C$39)*('01_Inputs'!$C$51)+('01_Inputs'!$C$40)*('01_Inputs'!$D$51))))/(('01_Inputs'!$C$33)*('02_HW'!$C$6))*('02_HW'!$C$10)),((1)*(((((('01_Inputs'!$C$5)*('01_Inputs'!$C$8)))*('01_Inputs'!$B$51)*('01_Inputs'!$C$16)))+(0)+((((('01_Inputs'!$C$5)*('01_Inputs'!$C$8)))*('01_Inputs'!$D$51)*('01_Inputs'!$C$16))))/(('01_Inputs'!$C$34)*('02_HW'!$C$7))*('02_HW'!$C$10)))+(1)*('02_HW'!$C$9)*('02_HW'!$C$10))</x:f>
        <x:v>1.9070902282652797</x:v>
      </x:c>
      <x:c r="R24" s="21" t="str">
        <x:f>IF(O24&gt;P24,"compute",IF(P24&gt;O24,"memory","balanced"))</x:f>
        <x:v>compute</x:v>
      </x:c>
      <x:c r="S24" s="24" t="str">
        <x:v>Prediction term for the inner loss.</x:v>
      </x:c>
    </x:row>
    <x:row r="25">
      <x:c r="A25" s="21" t="n">
        <x:f>ROW()-5</x:f>
        <x:v>20</x:v>
      </x:c>
      <x:c r="B25" s="21" t="str">
        <x:v>prefill</x:v>
      </x:c>
      <x:c r="C25" s="21" t="str">
        <x:v>loss</x:v>
      </x:c>
      <x:c r="D25" s="21" t="str">
        <x:v>M_mem_target_forward</x:v>
      </x:c>
      <x:c r="E25" s="24" t="str">
        <x:v>Ffwd(N)</x:v>
      </x:c>
      <x:c r="F25" s="66" t="n">
        <x:f>1</x:f>
        <x:v>1</x:v>
      </x:c>
      <x:c r="G25" s="69" t="n">
        <x:f>(2*((('01_Inputs'!$C$5)*('01_Inputs'!$C$8)))*((('01_Inputs'!$B$52)*('01_Inputs'!$C$52)+('01_Inputs'!$C$52)*('01_Inputs'!$D$52)))+((('01_Inputs'!$C$5)*('01_Inputs'!$C$8)))*(('01_Inputs'!$C$39)*('01_Inputs'!$C$52)+('01_Inputs'!$C$40)*('01_Inputs'!$D$52)))</x:f>
        <x:v>17594870398976</x:v>
      </x:c>
      <x:c r="H25" s="69" t="n">
        <x:f>(((((('01_Inputs'!$C$5)*('01_Inputs'!$C$8)))*('01_Inputs'!$B$52)*('01_Inputs'!$C$16)))+('01_Inputs'!$C$5)*((('01_Inputs'!$B$52)*('01_Inputs'!$C$52)+('01_Inputs'!$C$52)*('01_Inputs'!$D$52)))*('01_Inputs'!$C$37)*('01_Inputs'!$H$52))</x:f>
        <x:v>4831838208</x:v>
      </x:c>
      <x:c r="I25" s="69" t="n">
        <x:f>0</x:f>
        <x:v>0</x:v>
      </x:c>
      <x:c r="J25" s="69" t="n">
        <x:f>(((('01_Inputs'!$C$5)*('01_Inputs'!$C$8)))*('01_Inputs'!$D$52)*('01_Inputs'!$C$16))</x:f>
        <x:v>536870912</x:v>
      </x:c>
      <x:c r="K25" s="69" t="n">
        <x:f>(1)*((((((('01_Inputs'!$C$5)*('01_Inputs'!$C$8)))*('01_Inputs'!$B$52)*('01_Inputs'!$C$16)))+('01_Inputs'!$C$5)*((('01_Inputs'!$B$52)*('01_Inputs'!$C$52)+('01_Inputs'!$C$52)*('01_Inputs'!$D$52)))*('01_Inputs'!$C$37)*('01_Inputs'!$H$52)))</x:f>
        <x:v>4831838208</x:v>
      </x:c>
      <x:c r="L25" s="69" t="n">
        <x:f>(1)*((0)+((((('01_Inputs'!$C$5)*('01_Inputs'!$C$8)))*('01_Inputs'!$D$52)*('01_Inputs'!$C$16))))</x:f>
        <x:v>536870912</x:v>
      </x:c>
      <x:c r="M25" s="69" t="n">
        <x:f>0</x:f>
        <x:v>0</x:v>
      </x:c>
      <x:c r="N25" s="66" t="n">
        <x:f>IF(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)=0,"",((1)*((2*((('01_Inputs'!$C$5)*('01_Inputs'!$C$8)))*((('01_Inputs'!$B$52)*('01_Inputs'!$C$52)+('01_Inputs'!$C$52)*('01_Inputs'!$D$52)))+((('01_Inputs'!$C$5)*('01_Inputs'!$C$8)))*(('01_Inputs'!$C$39)*('01_Inputs'!$C$52)+('01_Inputs'!$C$40)*('01_Inputs'!$D$52)))))/(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)))</x:f>
        <x:v>3277.3</x:v>
      </x:c>
      <x:c r="O25" s="66" t="n">
        <x:f>((1)*((2*((('01_Inputs'!$C$5)*('01_Inputs'!$C$8)))*((('01_Inputs'!$B$52)*('01_Inputs'!$C$52)+('01_Inputs'!$C$52)*('01_Inputs'!$D$52)))+((('01_Inputs'!$C$5)*('01_Inputs'!$C$8)))*(('01_Inputs'!$C$39)*('01_Inputs'!$C$52)+('01_Inputs'!$C$40)*('01_Inputs'!$D$52))))/(('01_Inputs'!$C$33)*('02_HW'!$C$6))*('02_HW'!$C$10))</x:f>
        <x:v>3.8133659295570004</x:v>
      </x:c>
      <x:c r="P25" s="66" t="n">
        <x:f>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/(('01_Inputs'!$C$34)*('02_HW'!$C$7))*('02_HW'!$C$10))</x:f>
        <x:v>0.7255012324324324</x:v>
      </x:c>
      <x:c r="Q25" s="66" t="n">
        <x:f>(MAX(((1)*((2*((('01_Inputs'!$C$5)*('01_Inputs'!$C$8)))*((('01_Inputs'!$B$52)*('01_Inputs'!$C$52)+('01_Inputs'!$C$52)*('01_Inputs'!$D$52)))+((('01_Inputs'!$C$5)*('01_Inputs'!$C$8)))*(('01_Inputs'!$C$39)*('01_Inputs'!$C$52)+('01_Inputs'!$C$40)*('01_Inputs'!$D$52))))/(('01_Inputs'!$C$33)*('02_HW'!$C$6))*('02_HW'!$C$10)),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/(('01_Inputs'!$C$34)*('02_HW'!$C$7))*('02_HW'!$C$10)))+(1)*('02_HW'!$C$9)*('02_HW'!$C$10))</x:f>
        <x:v>3.8133659295570004</x:v>
      </x:c>
      <x:c r="R25" s="21" t="str">
        <x:f>IF(O25&gt;P25,"compute",IF(P25&gt;O25,"memory","balanced"))</x:f>
        <x:v>compute</x:v>
      </x:c>
      <x:c r="S25" s="24" t="str">
        <x:v>Auxiliary self-target/loss preparation; not a direct block forward output.</x:v>
      </x:c>
    </x:row>
    <x:row r="26">
      <x:c r="A26" s="21" t="n">
        <x:f>ROW()-5</x:f>
        <x:v>21</x:v>
      </x:c>
      <x:c r="B26" s="21" t="str">
        <x:v>prefill</x:v>
      </x:c>
      <x:c r="C26" s="21" t="str">
        <x:v>loss</x:v>
      </x:c>
      <x:c r="D26" s="21" t="str">
        <x:v>M_mem_prediction_forward</x:v>
      </x:c>
      <x:c r="E26" s="24" t="str">
        <x:v>Ffwd(N)</x:v>
      </x:c>
      <x:c r="F26" s="66" t="n">
        <x:f>1</x:f>
        <x:v>1</x:v>
      </x:c>
      <x:c r="G26" s="69" t="n">
        <x:f>(2*((('01_Inputs'!$C$5)*('01_Inputs'!$C$8)))*((('01_Inputs'!$B$52)*('01_Inputs'!$C$52)+('01_Inputs'!$C$52)*('01_Inputs'!$D$52)))+((('01_Inputs'!$C$5)*('01_Inputs'!$C$8)))*(('01_Inputs'!$C$39)*('01_Inputs'!$C$52)+('01_Inputs'!$C$40)*('01_Inputs'!$D$52)))</x:f>
        <x:v>17594870398976</x:v>
      </x:c>
      <x:c r="H26" s="69" t="n">
        <x:f>(((('01_Inputs'!$C$5)*('01_Inputs'!$C$8)))*('01_Inputs'!$B$52)*('01_Inputs'!$C$16))</x:f>
        <x:v>536870912</x:v>
      </x:c>
      <x:c r="I26" s="69" t="n">
        <x:f>0</x:f>
        <x:v>0</x:v>
      </x:c>
      <x:c r="J26" s="69" t="n">
        <x:f>(((('01_Inputs'!$C$5)*('01_Inputs'!$C$8)))*('01_Inputs'!$D$52)*('01_Inputs'!$C$16))</x:f>
        <x:v>536870912</x:v>
      </x:c>
      <x:c r="K26" s="69" t="n">
        <x:f>(1)*((((('01_Inputs'!$C$5)*('01_Inputs'!$C$8)))*('01_Inputs'!$B$52)*('01_Inputs'!$C$16)))</x:f>
        <x:v>536870912</x:v>
      </x:c>
      <x:c r="L26" s="69" t="n">
        <x:f>(1)*((0)+((((('01_Inputs'!$C$5)*('01_Inputs'!$C$8)))*('01_Inputs'!$D$52)*('01_Inputs'!$C$16))))</x:f>
        <x:v>536870912</x:v>
      </x:c>
      <x:c r="M26" s="69" t="n">
        <x:f>0</x:f>
        <x:v>0</x:v>
      </x:c>
      <x:c r="N26" s="66" t="n">
        <x:f>IF(((1)*(((((('01_Inputs'!$C$5)*('01_Inputs'!$C$8)))*('01_Inputs'!$B$52)*('01_Inputs'!$C$16)))+(0)+((((('01_Inputs'!$C$5)*('01_Inputs'!$C$8)))*('01_Inputs'!$D$52)*('01_Inputs'!$C$16)))))=0,"",((1)*((2*((('01_Inputs'!$C$5)*('01_Inputs'!$C$8)))*((('01_Inputs'!$B$52)*('01_Inputs'!$C$52)+('01_Inputs'!$C$52)*('01_Inputs'!$D$52)))+((('01_Inputs'!$C$5)*('01_Inputs'!$C$8)))*(('01_Inputs'!$C$39)*('01_Inputs'!$C$52)+('01_Inputs'!$C$40)*('01_Inputs'!$D$52)))))/(((1)*(((((('01_Inputs'!$C$5)*('01_Inputs'!$C$8)))*('01_Inputs'!$B$52)*('01_Inputs'!$C$16)))+(0)+((((('01_Inputs'!$C$5)*('01_Inputs'!$C$8)))*('01_Inputs'!$D$52)*('01_Inputs'!$C$16)))))))</x:f>
        <x:v>16386.5</x:v>
      </x:c>
      <x:c r="O26" s="66" t="n">
        <x:f>((1)*((2*((('01_Inputs'!$C$5)*('01_Inputs'!$C$8)))*((('01_Inputs'!$B$52)*('01_Inputs'!$C$52)+('01_Inputs'!$C$52)*('01_Inputs'!$D$52)))+((('01_Inputs'!$C$5)*('01_Inputs'!$C$8)))*(('01_Inputs'!$C$39)*('01_Inputs'!$C$52)+('01_Inputs'!$C$40)*('01_Inputs'!$D$52))))/(('01_Inputs'!$C$33)*('02_HW'!$C$6))*('02_HW'!$C$10))</x:f>
        <x:v>3.8133659295570004</x:v>
      </x:c>
      <x:c r="P26" s="66" t="n">
        <x:f>((1)*(((((('01_Inputs'!$C$5)*('01_Inputs'!$C$8)))*('01_Inputs'!$B$52)*('01_Inputs'!$C$16)))+(0)+((((('01_Inputs'!$C$5)*('01_Inputs'!$C$8)))*('01_Inputs'!$D$52)*('01_Inputs'!$C$16))))/(('01_Inputs'!$C$34)*('02_HW'!$C$7))*('02_HW'!$C$10))</x:f>
        <x:v>0.1451002464864865</x:v>
      </x:c>
      <x:c r="Q26" s="66" t="n">
        <x:f>(MAX(((1)*((2*((('01_Inputs'!$C$5)*('01_Inputs'!$C$8)))*((('01_Inputs'!$B$52)*('01_Inputs'!$C$52)+('01_Inputs'!$C$52)*('01_Inputs'!$D$52)))+((('01_Inputs'!$C$5)*('01_Inputs'!$C$8)))*(('01_Inputs'!$C$39)*('01_Inputs'!$C$52)+('01_Inputs'!$C$40)*('01_Inputs'!$D$52))))/(('01_Inputs'!$C$33)*('02_HW'!$C$6))*('02_HW'!$C$10)),((1)*(((((('01_Inputs'!$C$5)*('01_Inputs'!$C$8)))*('01_Inputs'!$B$52)*('01_Inputs'!$C$16)))+(0)+((((('01_Inputs'!$C$5)*('01_Inputs'!$C$8)))*('01_Inputs'!$D$52)*('01_Inputs'!$C$16))))/(('01_Inputs'!$C$34)*('02_HW'!$C$7))*('02_HW'!$C$10)))+(1)*('02_HW'!$C$9)*('02_HW'!$C$10))</x:f>
        <x:v>3.8133659295570004</x:v>
      </x:c>
      <x:c r="R26" s="21" t="str">
        <x:f>IF(O26&gt;P26,"compute",IF(P26&gt;O26,"memory","balanced"))</x:f>
        <x:v>compute</x:v>
      </x:c>
      <x:c r="S26" s="24" t="str">
        <x:v>Prediction term for the inner loss.</x:v>
      </x:c>
    </x:row>
    <x:row r="27">
      <x:c r="A27" s="21" t="n">
        <x:f>ROW()-5</x:f>
        <x:v>22</x:v>
      </x:c>
      <x:c r="B27" s="21" t="str">
        <x:v>prefill</x:v>
      </x:c>
      <x:c r="C27" s="21" t="str">
        <x:v>backward_update</x:v>
      </x:c>
      <x:c r="D27" s="21" t="str">
        <x:v>M_k_weight_backward</x:v>
      </x:c>
      <x:c r="E27" s="24" t="str">
        <x:v>2NIH + 4NHO</x:v>
      </x:c>
      <x:c r="F27" s="66" t="n">
        <x:f>1</x:f>
        <x:v>1</x:v>
      </x:c>
      <x:c r="G27" s="69" t="n">
        <x:f>(2*((('01_Inputs'!$C$5)*('01_Inputs'!$C$8)))*('01_Inputs'!$B$48)*('01_Inputs'!$C$48)+4*((('01_Inputs'!$C$5)*('01_Inputs'!$C$8)))*('01_Inputs'!$C$48)*('01_Inputs'!$D$48))</x:f>
        <x:v>26388279066624</x:v>
      </x:c>
      <x:c r="H27" s="69" t="n">
        <x:f>(((('01_Inputs'!$C$5)*('01_Inputs'!$C$8)))*(('01_Inputs'!$B$48)+('01_Inputs'!$C$48)+('01_Inputs'!$D$48))*('01_Inputs'!$C$16))</x:f>
        <x:v>1610612736</x:v>
      </x:c>
      <x:c r="I27" s="69" t="n">
        <x:f>0</x:f>
        <x:v>0</x:v>
      </x:c>
      <x:c r="J27" s="69" t="n">
        <x:f>(('01_Inputs'!$C$5)*((('01_Inputs'!$B$48)*('01_Inputs'!$C$48)+('01_Inputs'!$C$48)*('01_Inputs'!$D$48)))*('01_Inputs'!$C$38))</x:f>
        <x:v>17179869184</x:v>
      </x:c>
      <x:c r="K27" s="69" t="n">
        <x:f>(1)*((((('01_Inputs'!$C$5)*('01_Inputs'!$C$8)))*(('01_Inputs'!$B$48)+('01_Inputs'!$C$48)+('01_Inputs'!$D$48))*('01_Inputs'!$C$16)))</x:f>
        <x:v>1610612736</x:v>
      </x:c>
      <x:c r="L27" s="69" t="n">
        <x:f>(1)*((0)+((('01_Inputs'!$C$5)*((('01_Inputs'!$B$48)*('01_Inputs'!$C$48)+('01_Inputs'!$C$48)*('01_Inputs'!$D$48)))*('01_Inputs'!$C$38))))</x:f>
        <x:v>17179869184</x:v>
      </x:c>
      <x:c r="M27" s="69" t="n">
        <x:f>0</x:f>
        <x:v>0</x:v>
      </x:c>
      <x:c r="N27" s="66" t="n">
        <x:f>IF(((1)*(((((('01_Inputs'!$C$5)*('01_Inputs'!$C$8)))*(('01_Inputs'!$B$48)+('01_Inputs'!$C$48)+('01_Inputs'!$D$48))*('01_Inputs'!$C$16)))+(0)+((('01_Inputs'!$C$5)*((('01_Inputs'!$B$48)*('01_Inputs'!$C$48)+('01_Inputs'!$C$48)*('01_Inputs'!$D$48)))*('01_Inputs'!$C$38)))))=0,"",((1)*((2*((('01_Inputs'!$C$5)*('01_Inputs'!$C$8)))*('01_Inputs'!$B$48)*('01_Inputs'!$C$48)+4*((('01_Inputs'!$C$5)*('01_Inputs'!$C$8)))*('01_Inputs'!$C$48)*('01_Inputs'!$D$48))))/(((1)*(((((('01_Inputs'!$C$5)*('01_Inputs'!$C$8)))*(('01_Inputs'!$B$48)+('01_Inputs'!$C$48)+('01_Inputs'!$D$48))*('01_Inputs'!$C$16)))+(0)+((('01_Inputs'!$C$5)*((('01_Inputs'!$B$48)*('01_Inputs'!$C$48)+('01_Inputs'!$C$48)*('01_Inputs'!$D$48)))*('01_Inputs'!$C$38)))))))</x:f>
        <x:v>1404.3428571428572</x:v>
      </x:c>
      <x:c r="O27" s="66" t="n">
        <x:f>((1)*((2*((('01_Inputs'!$C$5)*('01_Inputs'!$C$8)))*('01_Inputs'!$B$48)*('01_Inputs'!$C$48)+4*((('01_Inputs'!$C$5)*('01_Inputs'!$C$8)))*('01_Inputs'!$C$48)*('01_Inputs'!$D$48)))/(('01_Inputs'!$C$33)*('02_HW'!$C$6))*('02_HW'!$C$10))</x:f>
        <x:v>5.71917621730039</x:v>
      </x:c>
      <x:c r="P27" s="66" t="n">
        <x:f>((1)*(((((('01_Inputs'!$C$5)*('01_Inputs'!$C$8)))*(('01_Inputs'!$B$48)+('01_Inputs'!$C$48)+('01_Inputs'!$D$48))*('01_Inputs'!$C$16)))+(0)+((('01_Inputs'!$C$5)*((('01_Inputs'!$B$48)*('01_Inputs'!$C$48)+('01_Inputs'!$C$48)*('01_Inputs'!$D$48)))*('01_Inputs'!$C$38))))/(('01_Inputs'!$C$34)*('02_HW'!$C$7))*('02_HW'!$C$10))</x:f>
        <x:v>2.5392543135135135</x:v>
      </x:c>
      <x:c r="Q27" s="66" t="n">
        <x:f>(MAX(((1)*((2*((('01_Inputs'!$C$5)*('01_Inputs'!$C$8)))*('01_Inputs'!$B$48)*('01_Inputs'!$C$48)+4*((('01_Inputs'!$C$5)*('01_Inputs'!$C$8)))*('01_Inputs'!$C$48)*('01_Inputs'!$D$48)))/(('01_Inputs'!$C$33)*('02_HW'!$C$6))*('02_HW'!$C$10)),((1)*(((((('01_Inputs'!$C$5)*('01_Inputs'!$C$8)))*(('01_Inputs'!$B$48)+('01_Inputs'!$C$48)+('01_Inputs'!$D$48))*('01_Inputs'!$C$16)))+(0)+((('01_Inputs'!$C$5)*((('01_Inputs'!$B$48)*('01_Inputs'!$C$48)+('01_Inputs'!$C$48)*('01_Inputs'!$D$48)))*('01_Inputs'!$C$38))))/(('01_Inputs'!$C$34)*('02_HW'!$C$7))*('02_HW'!$C$10)))+(1)*('02_HW'!$C$9)*('02_HW'!$C$10))</x:f>
        <x:v>5.71917621730039</x:v>
      </x:c>
      <x:c r="R27" s="21" t="str">
        <x:f>IF(O27&gt;P27,"compute",IF(P27&gt;O27,"memory","balanced"))</x:f>
        <x:v>compute</x:v>
      </x:c>
      <x:c r="S27" s="24" t="str">
        <x:v>Weight-gradient backward; no input gradient.</x:v>
      </x:c>
    </x:row>
    <x:row r="28">
      <x:c r="A28" s="21" t="n">
        <x:f>ROW()-5</x:f>
        <x:v>23</x:v>
      </x:c>
      <x:c r="B28" s="21" t="str">
        <x:v>prefill</x:v>
      </x:c>
      <x:c r="C28" s="21" t="str">
        <x:v>backward_update</x:v>
      </x:c>
      <x:c r="D28" s="21" t="str">
        <x:v>M_k_dgd_extra</x:v>
      </x:c>
      <x:c r="E28" s="24" t="str">
        <x:v>μFfwd − (2Ffwd+Fbwd)</x:v>
      </x:c>
      <x:c r="F28" s="66" t="n">
        <x:f>1</x:f>
        <x:v>1</x:v>
      </x:c>
      <x:c r="G28" s="69" t="n">
        <x:f>(('01_Inputs'!$G$48)*((2*((('01_Inputs'!$C$5)*('01_Inputs'!$C$8)))*((('01_Inputs'!$B$48)*('01_Inputs'!$C$48)+('01_Inputs'!$C$48)*('01_Inputs'!$D$48)))+((('01_Inputs'!$C$5)*('01_Inputs'!$C$8)))*(('01_Inputs'!$C$39)*('01_Inputs'!$C$48)+('01_Inputs'!$C$40)*('01_Inputs'!$D$48))))-(2*((2*((('01_Inputs'!$C$5)*('01_Inputs'!$C$8)))*((('01_Inputs'!$B$48)*('01_Inputs'!$C$48)+('01_Inputs'!$C$48)*('01_Inputs'!$D$48)))+((('01_Inputs'!$C$5)*('01_Inputs'!$C$8)))*(('01_Inputs'!$C$39)*('01_Inputs'!$C$48)+('01_Inputs'!$C$40)*('01_Inputs'!$D$48))))+((2*((('01_Inputs'!$C$5)*('01_Inputs'!$C$8)))*('01_Inputs'!$B$48)*('01_Inputs'!$C$48)+4*((('01_Inputs'!$C$5)*('01_Inputs'!$C$8)))*('01_Inputs'!$C$48)*('01_Inputs'!$D$48)))))</x:f>
        <x:v>8801461731328</x:v>
      </x:c>
      <x:c r="H28" s="69" t="n">
        <x:f>(('01_Inputs'!$C$5)*((('01_Inputs'!$B$48)*('01_Inputs'!$C$48)+('01_Inputs'!$C$48)*('01_Inputs'!$D$48)))*('01_Inputs'!$C$38))</x:f>
        <x:v>17179869184</x:v>
      </x:c>
      <x:c r="I28" s="69" t="n">
        <x:f>0</x:f>
        <x:v>0</x:v>
      </x:c>
      <x:c r="J28" s="69" t="n">
        <x:f>(('01_Inputs'!$C$5)*((('01_Inputs'!$B$48)*('01_Inputs'!$C$48)+('01_Inputs'!$C$48)*('01_Inputs'!$D$48)))*('01_Inputs'!$C$38))</x:f>
        <x:v>17179869184</x:v>
      </x:c>
      <x:c r="K28" s="69" t="n">
        <x:f>(1)*((('01_Inputs'!$C$5)*((('01_Inputs'!$B$48)*('01_Inputs'!$C$48)+('01_Inputs'!$C$48)*('01_Inputs'!$D$48)))*('01_Inputs'!$C$38)))</x:f>
        <x:v>17179869184</x:v>
      </x:c>
      <x:c r="L28" s="69" t="n">
        <x:f>(1)*((0)+((('01_Inputs'!$C$5)*((('01_Inputs'!$B$48)*('01_Inputs'!$C$48)+('01_Inputs'!$C$48)*('01_Inputs'!$D$48)))*('01_Inputs'!$C$38))))</x:f>
        <x:v>17179869184</x:v>
      </x:c>
      <x:c r="M28" s="69" t="n">
        <x:f>0</x:f>
        <x:v>0</x:v>
      </x:c>
      <x:c r="N28" s="66" t="n">
        <x:f>IF(((1)*(((('01_Inputs'!$C$5)*((('01_Inputs'!$B$48)*('01_Inputs'!$C$48)+('01_Inputs'!$C$48)*('01_Inputs'!$D$48)))*('01_Inputs'!$C$38)))+(0)+((('01_Inputs'!$C$5)*((('01_Inputs'!$B$48)*('01_Inputs'!$C$48)+('01_Inputs'!$C$48)*('01_Inputs'!$D$48)))*('01_Inputs'!$C$38)))))=0,"",((1)*((('01_Inputs'!$G$48)*((2*((('01_Inputs'!$C$5)*('01_Inputs'!$C$8)))*((('01_Inputs'!$B$48)*('01_Inputs'!$C$48)+('01_Inputs'!$C$48)*('01_Inputs'!$D$48)))+((('01_Inputs'!$C$5)*('01_Inputs'!$C$8)))*(('01_Inputs'!$C$39)*('01_Inputs'!$C$48)+('01_Inputs'!$C$40)*('01_Inputs'!$D$48))))-(2*((2*((('01_Inputs'!$C$5)*('01_Inputs'!$C$8)))*((('01_Inputs'!$B$48)*('01_Inputs'!$C$48)+('01_Inputs'!$C$48)*('01_Inputs'!$D$48)))+((('01_Inputs'!$C$5)*('01_Inputs'!$C$8)))*(('01_Inputs'!$C$39)*('01_Inputs'!$C$48)+('01_Inputs'!$C$40)*('01_Inputs'!$D$48))))+((2*((('01_Inputs'!$C$5)*('01_Inputs'!$C$8)))*('01_Inputs'!$B$48)*('01_Inputs'!$C$48)+4*((('01_Inputs'!$C$5)*('01_Inputs'!$C$8)))*('01_Inputs'!$C$48)*('01_Inputs'!$D$48)))))))/(((1)*(((('01_Inputs'!$C$5)*((('01_Inputs'!$B$48)*('01_Inputs'!$C$48)+('01_Inputs'!$C$48)*('01_Inputs'!$D$48)))*('01_Inputs'!$C$38)))+(0)+((('01_Inputs'!$C$5)*((('01_Inputs'!$B$48)*('01_Inputs'!$C$48)+('01_Inputs'!$C$48)*('01_Inputs'!$D$48)))*('01_Inputs'!$C$38)))))))</x:f>
        <x:v>256.15625</x:v>
      </x:c>
      <x:c r="O28" s="66" t="n">
        <x:f>((1)*((('01_Inputs'!$G$48)*((2*((('01_Inputs'!$C$5)*('01_Inputs'!$C$8)))*((('01_Inputs'!$B$48)*('01_Inputs'!$C$48)+('01_Inputs'!$C$48)*('01_Inputs'!$D$48)))+((('01_Inputs'!$C$5)*('01_Inputs'!$C$8)))*(('01_Inputs'!$C$39)*('01_Inputs'!$C$48)+('01_Inputs'!$C$40)*('01_Inputs'!$D$48))))-(2*((2*((('01_Inputs'!$C$5)*('01_Inputs'!$C$8)))*((('01_Inputs'!$B$48)*('01_Inputs'!$C$48)+('01_Inputs'!$C$48)*('01_Inputs'!$D$48)))+((('01_Inputs'!$C$5)*('01_Inputs'!$C$8)))*(('01_Inputs'!$C$39)*('01_Inputs'!$C$48)+('01_Inputs'!$C$40)*('01_Inputs'!$D$48))))+((2*((('01_Inputs'!$C$5)*('01_Inputs'!$C$8)))*('01_Inputs'!$B$48)*('01_Inputs'!$C$48)+4*((('01_Inputs'!$C$5)*('01_Inputs'!$C$8)))*('01_Inputs'!$C$48)*('01_Inputs'!$D$48))))))/(('01_Inputs'!$C$33)*('02_HW'!$C$6))*('02_HW'!$C$10))</x:f>
        <x:v>1.9075556418136108</x:v>
      </x:c>
      <x:c r="P28" s="66" t="n">
        <x:f>((1)*(((('01_Inputs'!$C$5)*((('01_Inputs'!$B$48)*('01_Inputs'!$C$48)+('01_Inputs'!$C$48)*('01_Inputs'!$D$48)))*('01_Inputs'!$C$38)))+(0)+((('01_Inputs'!$C$5)*((('01_Inputs'!$B$48)*('01_Inputs'!$C$48)+('01_Inputs'!$C$48)*('01_Inputs'!$D$48)))*('01_Inputs'!$C$38))))/(('01_Inputs'!$C$34)*('02_HW'!$C$7))*('02_HW'!$C$10))</x:f>
        <x:v>4.643207887567568</x:v>
      </x:c>
      <x:c r="Q28" s="66" t="n">
        <x:f>(MAX(((1)*((('01_Inputs'!$G$48)*((2*((('01_Inputs'!$C$5)*('01_Inputs'!$C$8)))*((('01_Inputs'!$B$48)*('01_Inputs'!$C$48)+('01_Inputs'!$C$48)*('01_Inputs'!$D$48)))+((('01_Inputs'!$C$5)*('01_Inputs'!$C$8)))*(('01_Inputs'!$C$39)*('01_Inputs'!$C$48)+('01_Inputs'!$C$40)*('01_Inputs'!$D$48))))-(2*((2*((('01_Inputs'!$C$5)*('01_Inputs'!$C$8)))*((('01_Inputs'!$B$48)*('01_Inputs'!$C$48)+('01_Inputs'!$C$48)*('01_Inputs'!$D$48)))+((('01_Inputs'!$C$5)*('01_Inputs'!$C$8)))*(('01_Inputs'!$C$39)*('01_Inputs'!$C$48)+('01_Inputs'!$C$40)*('01_Inputs'!$D$48))))+((2*((('01_Inputs'!$C$5)*('01_Inputs'!$C$8)))*('01_Inputs'!$B$48)*('01_Inputs'!$C$48)+4*((('01_Inputs'!$C$5)*('01_Inputs'!$C$8)))*('01_Inputs'!$C$48)*('01_Inputs'!$D$48))))))/(('01_Inputs'!$C$33)*('02_HW'!$C$6))*('02_HW'!$C$10)),((1)*(((('01_Inputs'!$C$5)*((('01_Inputs'!$B$48)*('01_Inputs'!$C$48)+('01_Inputs'!$C$48)*('01_Inputs'!$D$48)))*('01_Inputs'!$C$38)))+(0)+((('01_Inputs'!$C$5)*((('01_Inputs'!$B$48)*('01_Inputs'!$C$48)+('01_Inputs'!$C$48)*('01_Inputs'!$D$48)))*('01_Inputs'!$C$38))))/(('01_Inputs'!$C$34)*('02_HW'!$C$7))*('02_HW'!$C$10)))+(1)*('02_HW'!$C$9)*('02_HW'!$C$10))</x:f>
        <x:v>4.643207887567568</x:v>
      </x:c>
      <x:c r="R28" s="21" t="str">
        <x:f>IF(O28&gt;P28,"compute",IF(P28&gt;O28,"memory","balanced"))</x:f>
        <x:v>memory</x:v>
      </x:c>
      <x:c r="S28" s="24" t="str">
        <x:v>Residual DGD calibration after all loss terms.</x:v>
      </x:c>
    </x:row>
    <x:row r="29">
      <x:c r="A29" s="21" t="n">
        <x:f>ROW()-5</x:f>
        <x:v>24</x:v>
      </x:c>
      <x:c r="B29" s="21" t="str">
        <x:v>prefill</x:v>
      </x:c>
      <x:c r="C29" s="21" t="str">
        <x:v>backward_update</x:v>
      </x:c>
      <x:c r="D29" s="21" t="str">
        <x:v>M_k_state_apply</x:v>
      </x:c>
      <x:c r="E29" s="24" t="str">
        <x:v>B(1+m)Pbs read + write</x:v>
      </x:c>
      <x:c r="F29" s="66" t="n">
        <x:f>(INT((('01_Inputs'!$C$42)+('01_Inputs'!$C$8))/('01_Inputs'!$E$48))-INT(('01_Inputs'!$C$42)/('01_Inputs'!$E$48)))</x:f>
        <x:v>1</x:v>
      </x:c>
      <x:c r="G29" s="69" t="n">
        <x:f>0</x:f>
        <x:v>0</x:v>
      </x:c>
      <x:c r="H29" s="69" t="n">
        <x:f>(('01_Inputs'!$C$5)*(1+('01_Inputs'!$F$48))*((('01_Inputs'!$B$48)*('01_Inputs'!$C$48)+('01_Inputs'!$C$48)*('01_Inputs'!$D$48)))*('01_Inputs'!$C$37))</x:f>
        <x:v>8589934592</x:v>
      </x:c>
      <x:c r="I29" s="69" t="n">
        <x:f>(('01_Inputs'!$C$5)*(1+('01_Inputs'!$F$48))*((('01_Inputs'!$B$48)*('01_Inputs'!$C$48)+('01_Inputs'!$C$48)*('01_Inputs'!$D$48)))*('01_Inputs'!$C$37))</x:f>
        <x:v>8589934592</x:v>
      </x:c>
      <x:c r="J29" s="69" t="n">
        <x:f>0</x:f>
        <x:v>0</x:v>
      </x:c>
      <x:c r="K29" s="69" t="n">
        <x:f>((INT((('01_Inputs'!$C$42)+('01_Inputs'!$C$8))/('01_Inputs'!$E$48))-INT(('01_Inputs'!$C$42)/('01_Inputs'!$E$48))))*((('01_Inputs'!$C$5)*(1+('01_Inputs'!$F$48))*((('01_Inputs'!$B$48)*('01_Inputs'!$C$48)+('01_Inputs'!$C$48)*('01_Inputs'!$D$48)))*('01_Inputs'!$C$37)))</x:f>
        <x:v>8589934592</x:v>
      </x:c>
      <x:c r="L29" s="69" t="n">
        <x:f>((INT((('01_Inputs'!$C$42)+('01_Inputs'!$C$8))/('01_Inputs'!$E$48))-INT(('01_Inputs'!$C$42)/('01_Inputs'!$E$48))))*(((('01_Inputs'!$C$5)*(1+('01_Inputs'!$F$48))*((('01_Inputs'!$B$48)*('01_Inputs'!$C$48)+('01_Inputs'!$C$48)*('01_Inputs'!$D$48)))*('01_Inputs'!$C$37)))+(0))</x:f>
        <x:v>8589934592</x:v>
      </x:c>
      <x:c r="M29" s="69" t="n">
        <x:f>0</x:f>
        <x:v>0</x:v>
      </x:c>
      <x:c r="N29" s="66" t="n">
        <x:f>IF((((INT((('01_Inputs'!$C$42)+('01_Inputs'!$C$8))/('01_Inputs'!$E$48))-INT(('01_Inputs'!$C$42)/('01_Inputs'!$E$48)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)=0,"",(((INT((('01_Inputs'!$C$42)+('01_Inputs'!$C$8))/('01_Inputs'!$E$48))-INT(('01_Inputs'!$C$42)/('01_Inputs'!$E$48))))*(0))/((((INT((('01_Inputs'!$C$42)+('01_Inputs'!$C$8))/('01_Inputs'!$E$48))-INT(('01_Inputs'!$C$42)/('01_Inputs'!$E$48)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)))</x:f>
        <x:v>0</x:v>
      </x:c>
      <x:c r="O29" s="66" t="n">
        <x:f>(((INT((('01_Inputs'!$C$42)+('01_Inputs'!$C$8))/('01_Inputs'!$E$48))-INT(('01_Inputs'!$C$42)/('01_Inputs'!$E$48))))*(0)/(('01_Inputs'!$C$33)*('02_HW'!$C$6))*('02_HW'!$C$10))</x:f>
        <x:v>0</x:v>
      </x:c>
      <x:c r="P29" s="66" t="n">
        <x:f>(((INT((('01_Inputs'!$C$42)+('01_Inputs'!$C$8))/('01_Inputs'!$E$48))-INT(('01_Inputs'!$C$42)/('01_Inputs'!$E$48)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/(('01_Inputs'!$C$34)*('02_HW'!$C$7))*('02_HW'!$C$10))</x:f>
        <x:v>2.321603943783784</x:v>
      </x:c>
      <x:c r="Q29" s="66" t="n">
        <x:f>(MAX((((INT((('01_Inputs'!$C$42)+('01_Inputs'!$C$8))/('01_Inputs'!$E$48))-INT(('01_Inputs'!$C$42)/('01_Inputs'!$E$48))))*(0)/(('01_Inputs'!$C$33)*('02_HW'!$C$6))*('02_HW'!$C$10)),(((INT((('01_Inputs'!$C$42)+('01_Inputs'!$C$8))/('01_Inputs'!$E$48))-INT(('01_Inputs'!$C$42)/('01_Inputs'!$E$48)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/(('01_Inputs'!$C$34)*('02_HW'!$C$7))*('02_HW'!$C$10)))+((INT((('01_Inputs'!$C$42)+('01_Inputs'!$C$8))/('01_Inputs'!$E$48))-INT(('01_Inputs'!$C$42)/('01_Inputs'!$E$48))))*('02_HW'!$C$9)*('02_HW'!$C$10))</x:f>
        <x:v>2.321603943783784</x:v>
      </x:c>
      <x:c r="R29" s="21" t="str">
        <x:f>IF(O29&gt;P29,"compute",IF(P29&gt;O29,"memory","balanced"))</x:f>
        <x:v>memory</x:v>
      </x:c>
      <x:c r="S29" s="24" t="str">
        <x:v>Boundary-count state RMW.</x:v>
      </x:c>
    </x:row>
    <x:row r="30">
      <x:c r="A30" s="21" t="n">
        <x:f>ROW()-5</x:f>
        <x:v>25</x:v>
      </x:c>
      <x:c r="B30" s="21" t="str">
        <x:v>prefill</x:v>
      </x:c>
      <x:c r="C30" s="21" t="str">
        <x:v>backward_update</x:v>
      </x:c>
      <x:c r="D30" s="21" t="str">
        <x:v>M_v_weight_backward</x:v>
      </x:c>
      <x:c r="E30" s="24" t="str">
        <x:v>2NIH + 4NHO</x:v>
      </x:c>
      <x:c r="F30" s="66" t="n">
        <x:f>1</x:f>
        <x:v>1</x:v>
      </x:c>
      <x:c r="G30" s="69" t="n">
        <x:f>(2*((('01_Inputs'!$C$5)*('01_Inputs'!$C$8)))*('01_Inputs'!$B$49)*('01_Inputs'!$C$49)+4*((('01_Inputs'!$C$5)*('01_Inputs'!$C$8)))*('01_Inputs'!$C$49)*('01_Inputs'!$D$49))</x:f>
        <x:v>26388279066624</x:v>
      </x:c>
      <x:c r="H30" s="69" t="n">
        <x:f>(((('01_Inputs'!$C$5)*('01_Inputs'!$C$8)))*(('01_Inputs'!$B$49)+('01_Inputs'!$C$49)+('01_Inputs'!$D$49))*('01_Inputs'!$C$16))</x:f>
        <x:v>1610612736</x:v>
      </x:c>
      <x:c r="I30" s="69" t="n">
        <x:f>0</x:f>
        <x:v>0</x:v>
      </x:c>
      <x:c r="J30" s="69" t="n">
        <x:f>(('01_Inputs'!$C$5)*((('01_Inputs'!$B$49)*('01_Inputs'!$C$49)+('01_Inputs'!$C$49)*('01_Inputs'!$D$49)))*('01_Inputs'!$C$38))</x:f>
        <x:v>17179869184</x:v>
      </x:c>
      <x:c r="K30" s="69" t="n">
        <x:f>(1)*((((('01_Inputs'!$C$5)*('01_Inputs'!$C$8)))*(('01_Inputs'!$B$49)+('01_Inputs'!$C$49)+('01_Inputs'!$D$49))*('01_Inputs'!$C$16)))</x:f>
        <x:v>1610612736</x:v>
      </x:c>
      <x:c r="L30" s="69" t="n">
        <x:f>(1)*((0)+((('01_Inputs'!$C$5)*((('01_Inputs'!$B$49)*('01_Inputs'!$C$49)+('01_Inputs'!$C$49)*('01_Inputs'!$D$49)))*('01_Inputs'!$C$38))))</x:f>
        <x:v>17179869184</x:v>
      </x:c>
      <x:c r="M30" s="69" t="n">
        <x:f>0</x:f>
        <x:v>0</x:v>
      </x:c>
      <x:c r="N30" s="66" t="n">
        <x:f>IF(((1)*(((((('01_Inputs'!$C$5)*('01_Inputs'!$C$8)))*(('01_Inputs'!$B$49)+('01_Inputs'!$C$49)+('01_Inputs'!$D$49))*('01_Inputs'!$C$16)))+(0)+((('01_Inputs'!$C$5)*((('01_Inputs'!$B$49)*('01_Inputs'!$C$49)+('01_Inputs'!$C$49)*('01_Inputs'!$D$49)))*('01_Inputs'!$C$38)))))=0,"",((1)*((2*((('01_Inputs'!$C$5)*('01_Inputs'!$C$8)))*('01_Inputs'!$B$49)*('01_Inputs'!$C$49)+4*((('01_Inputs'!$C$5)*('01_Inputs'!$C$8)))*('01_Inputs'!$C$49)*('01_Inputs'!$D$49))))/(((1)*(((((('01_Inputs'!$C$5)*('01_Inputs'!$C$8)))*(('01_Inputs'!$B$49)+('01_Inputs'!$C$49)+('01_Inputs'!$D$49))*('01_Inputs'!$C$16)))+(0)+((('01_Inputs'!$C$5)*((('01_Inputs'!$B$49)*('01_Inputs'!$C$49)+('01_Inputs'!$C$49)*('01_Inputs'!$D$49)))*('01_Inputs'!$C$38)))))))</x:f>
        <x:v>1404.3428571428572</x:v>
      </x:c>
      <x:c r="O30" s="66" t="n">
        <x:f>((1)*((2*((('01_Inputs'!$C$5)*('01_Inputs'!$C$8)))*('01_Inputs'!$B$49)*('01_Inputs'!$C$49)+4*((('01_Inputs'!$C$5)*('01_Inputs'!$C$8)))*('01_Inputs'!$C$49)*('01_Inputs'!$D$49)))/(('01_Inputs'!$C$33)*('02_HW'!$C$6))*('02_HW'!$C$10))</x:f>
        <x:v>5.71917621730039</x:v>
      </x:c>
      <x:c r="P30" s="66" t="n">
        <x:f>((1)*(((((('01_Inputs'!$C$5)*('01_Inputs'!$C$8)))*(('01_Inputs'!$B$49)+('01_Inputs'!$C$49)+('01_Inputs'!$D$49))*('01_Inputs'!$C$16)))+(0)+((('01_Inputs'!$C$5)*((('01_Inputs'!$B$49)*('01_Inputs'!$C$49)+('01_Inputs'!$C$49)*('01_Inputs'!$D$49)))*('01_Inputs'!$C$38))))/(('01_Inputs'!$C$34)*('02_HW'!$C$7))*('02_HW'!$C$10))</x:f>
        <x:v>2.5392543135135135</x:v>
      </x:c>
      <x:c r="Q30" s="66" t="n">
        <x:f>(MAX(((1)*((2*((('01_Inputs'!$C$5)*('01_Inputs'!$C$8)))*('01_Inputs'!$B$49)*('01_Inputs'!$C$49)+4*((('01_Inputs'!$C$5)*('01_Inputs'!$C$8)))*('01_Inputs'!$C$49)*('01_Inputs'!$D$49)))/(('01_Inputs'!$C$33)*('02_HW'!$C$6))*('02_HW'!$C$10)),((1)*(((((('01_Inputs'!$C$5)*('01_Inputs'!$C$8)))*(('01_Inputs'!$B$49)+('01_Inputs'!$C$49)+('01_Inputs'!$D$49))*('01_Inputs'!$C$16)))+(0)+((('01_Inputs'!$C$5)*((('01_Inputs'!$B$49)*('01_Inputs'!$C$49)+('01_Inputs'!$C$49)*('01_Inputs'!$D$49)))*('01_Inputs'!$C$38))))/(('01_Inputs'!$C$34)*('02_HW'!$C$7))*('02_HW'!$C$10)))+(1)*('02_HW'!$C$9)*('02_HW'!$C$10))</x:f>
        <x:v>5.71917621730039</x:v>
      </x:c>
      <x:c r="R30" s="21" t="str">
        <x:f>IF(O30&gt;P30,"compute",IF(P30&gt;O30,"memory","balanced"))</x:f>
        <x:v>compute</x:v>
      </x:c>
      <x:c r="S30" s="24" t="str">
        <x:v>Weight-gradient backward; no input gradient.</x:v>
      </x:c>
    </x:row>
    <x:row r="31">
      <x:c r="A31" s="21" t="n">
        <x:f>ROW()-5</x:f>
        <x:v>26</x:v>
      </x:c>
      <x:c r="B31" s="21" t="str">
        <x:v>prefill</x:v>
      </x:c>
      <x:c r="C31" s="21" t="str">
        <x:v>backward_update</x:v>
      </x:c>
      <x:c r="D31" s="21" t="str">
        <x:v>M_v_dgd_extra</x:v>
      </x:c>
      <x:c r="E31" s="24" t="str">
        <x:v>μFfwd − (2Ffwd+Fbwd)</x:v>
      </x:c>
      <x:c r="F31" s="66" t="n">
        <x:f>1</x:f>
        <x:v>1</x:v>
      </x:c>
      <x:c r="G31" s="69" t="n">
        <x:f>(('01_Inputs'!$G$49)*((2*((('01_Inputs'!$C$5)*('01_Inputs'!$C$8)))*((('01_Inputs'!$B$49)*('01_Inputs'!$C$49)+('01_Inputs'!$C$49)*('01_Inputs'!$D$49)))+((('01_Inputs'!$C$5)*('01_Inputs'!$C$8)))*(('01_Inputs'!$C$39)*('01_Inputs'!$C$49)+('01_Inputs'!$C$40)*('01_Inputs'!$D$49))))-(2*((2*((('01_Inputs'!$C$5)*('01_Inputs'!$C$8)))*((('01_Inputs'!$B$49)*('01_Inputs'!$C$49)+('01_Inputs'!$C$49)*('01_Inputs'!$D$49)))+((('01_Inputs'!$C$5)*('01_Inputs'!$C$8)))*(('01_Inputs'!$C$39)*('01_Inputs'!$C$49)+('01_Inputs'!$C$40)*('01_Inputs'!$D$49))))+((2*((('01_Inputs'!$C$5)*('01_Inputs'!$C$8)))*('01_Inputs'!$B$49)*('01_Inputs'!$C$49)+4*((('01_Inputs'!$C$5)*('01_Inputs'!$C$8)))*('01_Inputs'!$C$49)*('01_Inputs'!$D$49)))))</x:f>
        <x:v>8801461731328</x:v>
      </x:c>
      <x:c r="H31" s="69" t="n">
        <x:f>(('01_Inputs'!$C$5)*((('01_Inputs'!$B$49)*('01_Inputs'!$C$49)+('01_Inputs'!$C$49)*('01_Inputs'!$D$49)))*('01_Inputs'!$C$38))</x:f>
        <x:v>17179869184</x:v>
      </x:c>
      <x:c r="I31" s="69" t="n">
        <x:f>0</x:f>
        <x:v>0</x:v>
      </x:c>
      <x:c r="J31" s="69" t="n">
        <x:f>(('01_Inputs'!$C$5)*((('01_Inputs'!$B$49)*('01_Inputs'!$C$49)+('01_Inputs'!$C$49)*('01_Inputs'!$D$49)))*('01_Inputs'!$C$38))</x:f>
        <x:v>17179869184</x:v>
      </x:c>
      <x:c r="K31" s="69" t="n">
        <x:f>(1)*((('01_Inputs'!$C$5)*((('01_Inputs'!$B$49)*('01_Inputs'!$C$49)+('01_Inputs'!$C$49)*('01_Inputs'!$D$49)))*('01_Inputs'!$C$38)))</x:f>
        <x:v>17179869184</x:v>
      </x:c>
      <x:c r="L31" s="69" t="n">
        <x:f>(1)*((0)+((('01_Inputs'!$C$5)*((('01_Inputs'!$B$49)*('01_Inputs'!$C$49)+('01_Inputs'!$C$49)*('01_Inputs'!$D$49)))*('01_Inputs'!$C$38))))</x:f>
        <x:v>17179869184</x:v>
      </x:c>
      <x:c r="M31" s="69" t="n">
        <x:f>0</x:f>
        <x:v>0</x:v>
      </x:c>
      <x:c r="N31" s="66" t="n">
        <x:f>IF(((1)*(((('01_Inputs'!$C$5)*((('01_Inputs'!$B$49)*('01_Inputs'!$C$49)+('01_Inputs'!$C$49)*('01_Inputs'!$D$49)))*('01_Inputs'!$C$38)))+(0)+((('01_Inputs'!$C$5)*((('01_Inputs'!$B$49)*('01_Inputs'!$C$49)+('01_Inputs'!$C$49)*('01_Inputs'!$D$49)))*('01_Inputs'!$C$38)))))=0,"",((1)*((('01_Inputs'!$G$49)*((2*((('01_Inputs'!$C$5)*('01_Inputs'!$C$8)))*((('01_Inputs'!$B$49)*('01_Inputs'!$C$49)+('01_Inputs'!$C$49)*('01_Inputs'!$D$49)))+((('01_Inputs'!$C$5)*('01_Inputs'!$C$8)))*(('01_Inputs'!$C$39)*('01_Inputs'!$C$49)+('01_Inputs'!$C$40)*('01_Inputs'!$D$49))))-(2*((2*((('01_Inputs'!$C$5)*('01_Inputs'!$C$8)))*((('01_Inputs'!$B$49)*('01_Inputs'!$C$49)+('01_Inputs'!$C$49)*('01_Inputs'!$D$49)))+((('01_Inputs'!$C$5)*('01_Inputs'!$C$8)))*(('01_Inputs'!$C$39)*('01_Inputs'!$C$49)+('01_Inputs'!$C$40)*('01_Inputs'!$D$49))))+((2*((('01_Inputs'!$C$5)*('01_Inputs'!$C$8)))*('01_Inputs'!$B$49)*('01_Inputs'!$C$49)+4*((('01_Inputs'!$C$5)*('01_Inputs'!$C$8)))*('01_Inputs'!$C$49)*('01_Inputs'!$D$49)))))))/(((1)*(((('01_Inputs'!$C$5)*((('01_Inputs'!$B$49)*('01_Inputs'!$C$49)+('01_Inputs'!$C$49)*('01_Inputs'!$D$49)))*('01_Inputs'!$C$38)))+(0)+((('01_Inputs'!$C$5)*((('01_Inputs'!$B$49)*('01_Inputs'!$C$49)+('01_Inputs'!$C$49)*('01_Inputs'!$D$49)))*('01_Inputs'!$C$38)))))))</x:f>
        <x:v>256.15625</x:v>
      </x:c>
      <x:c r="O31" s="66" t="n">
        <x:f>((1)*((('01_Inputs'!$G$49)*((2*((('01_Inputs'!$C$5)*('01_Inputs'!$C$8)))*((('01_Inputs'!$B$49)*('01_Inputs'!$C$49)+('01_Inputs'!$C$49)*('01_Inputs'!$D$49)))+((('01_Inputs'!$C$5)*('01_Inputs'!$C$8)))*(('01_Inputs'!$C$39)*('01_Inputs'!$C$49)+('01_Inputs'!$C$40)*('01_Inputs'!$D$49))))-(2*((2*((('01_Inputs'!$C$5)*('01_Inputs'!$C$8)))*((('01_Inputs'!$B$49)*('01_Inputs'!$C$49)+('01_Inputs'!$C$49)*('01_Inputs'!$D$49)))+((('01_Inputs'!$C$5)*('01_Inputs'!$C$8)))*(('01_Inputs'!$C$39)*('01_Inputs'!$C$49)+('01_Inputs'!$C$40)*('01_Inputs'!$D$49))))+((2*((('01_Inputs'!$C$5)*('01_Inputs'!$C$8)))*('01_Inputs'!$B$49)*('01_Inputs'!$C$49)+4*((('01_Inputs'!$C$5)*('01_Inputs'!$C$8)))*('01_Inputs'!$C$49)*('01_Inputs'!$D$49))))))/(('01_Inputs'!$C$33)*('02_HW'!$C$6))*('02_HW'!$C$10))</x:f>
        <x:v>1.9075556418136108</x:v>
      </x:c>
      <x:c r="P31" s="66" t="n">
        <x:f>((1)*(((('01_Inputs'!$C$5)*((('01_Inputs'!$B$49)*('01_Inputs'!$C$49)+('01_Inputs'!$C$49)*('01_Inputs'!$D$49)))*('01_Inputs'!$C$38)))+(0)+((('01_Inputs'!$C$5)*((('01_Inputs'!$B$49)*('01_Inputs'!$C$49)+('01_Inputs'!$C$49)*('01_Inputs'!$D$49)))*('01_Inputs'!$C$38))))/(('01_Inputs'!$C$34)*('02_HW'!$C$7))*('02_HW'!$C$10))</x:f>
        <x:v>4.643207887567568</x:v>
      </x:c>
      <x:c r="Q31" s="66" t="n">
        <x:f>(MAX(((1)*((('01_Inputs'!$G$49)*((2*((('01_Inputs'!$C$5)*('01_Inputs'!$C$8)))*((('01_Inputs'!$B$49)*('01_Inputs'!$C$49)+('01_Inputs'!$C$49)*('01_Inputs'!$D$49)))+((('01_Inputs'!$C$5)*('01_Inputs'!$C$8)))*(('01_Inputs'!$C$39)*('01_Inputs'!$C$49)+('01_Inputs'!$C$40)*('01_Inputs'!$D$49))))-(2*((2*((('01_Inputs'!$C$5)*('01_Inputs'!$C$8)))*((('01_Inputs'!$B$49)*('01_Inputs'!$C$49)+('01_Inputs'!$C$49)*('01_Inputs'!$D$49)))+((('01_Inputs'!$C$5)*('01_Inputs'!$C$8)))*(('01_Inputs'!$C$39)*('01_Inputs'!$C$49)+('01_Inputs'!$C$40)*('01_Inputs'!$D$49))))+((2*((('01_Inputs'!$C$5)*('01_Inputs'!$C$8)))*('01_Inputs'!$B$49)*('01_Inputs'!$C$49)+4*((('01_Inputs'!$C$5)*('01_Inputs'!$C$8)))*('01_Inputs'!$C$49)*('01_Inputs'!$D$49))))))/(('01_Inputs'!$C$33)*('02_HW'!$C$6))*('02_HW'!$C$10)),((1)*(((('01_Inputs'!$C$5)*((('01_Inputs'!$B$49)*('01_Inputs'!$C$49)+('01_Inputs'!$C$49)*('01_Inputs'!$D$49)))*('01_Inputs'!$C$38)))+(0)+((('01_Inputs'!$C$5)*((('01_Inputs'!$B$49)*('01_Inputs'!$C$49)+('01_Inputs'!$C$49)*('01_Inputs'!$D$49)))*('01_Inputs'!$C$38))))/(('01_Inputs'!$C$34)*('02_HW'!$C$7))*('02_HW'!$C$10)))+(1)*('02_HW'!$C$9)*('02_HW'!$C$10))</x:f>
        <x:v>4.643207887567568</x:v>
      </x:c>
      <x:c r="R31" s="21" t="str">
        <x:f>IF(O31&gt;P31,"compute",IF(P31&gt;O31,"memory","balanced"))</x:f>
        <x:v>memory</x:v>
      </x:c>
      <x:c r="S31" s="24" t="str">
        <x:v>Residual DGD calibration after all loss terms.</x:v>
      </x:c>
    </x:row>
    <x:row r="32">
      <x:c r="A32" s="21" t="n">
        <x:f>ROW()-5</x:f>
        <x:v>27</x:v>
      </x:c>
      <x:c r="B32" s="21" t="str">
        <x:v>prefill</x:v>
      </x:c>
      <x:c r="C32" s="21" t="str">
        <x:v>backward_update</x:v>
      </x:c>
      <x:c r="D32" s="21" t="str">
        <x:v>M_v_state_apply</x:v>
      </x:c>
      <x:c r="E32" s="24" t="str">
        <x:v>B(1+m)Pbs read + write</x:v>
      </x:c>
      <x:c r="F32" s="66" t="n">
        <x:f>(INT((('01_Inputs'!$C$42)+('01_Inputs'!$C$8))/('01_Inputs'!$E$49))-INT(('01_Inputs'!$C$42)/('01_Inputs'!$E$49)))</x:f>
        <x:v>1</x:v>
      </x:c>
      <x:c r="G32" s="69" t="n">
        <x:f>0</x:f>
        <x:v>0</x:v>
      </x:c>
      <x:c r="H32" s="69" t="n">
        <x:f>(('01_Inputs'!$C$5)*(1+('01_Inputs'!$F$49))*((('01_Inputs'!$B$49)*('01_Inputs'!$C$49)+('01_Inputs'!$C$49)*('01_Inputs'!$D$49)))*('01_Inputs'!$C$37))</x:f>
        <x:v>8589934592</x:v>
      </x:c>
      <x:c r="I32" s="69" t="n">
        <x:f>(('01_Inputs'!$C$5)*(1+('01_Inputs'!$F$49))*((('01_Inputs'!$B$49)*('01_Inputs'!$C$49)+('01_Inputs'!$C$49)*('01_Inputs'!$D$49)))*('01_Inputs'!$C$37))</x:f>
        <x:v>8589934592</x:v>
      </x:c>
      <x:c r="J32" s="69" t="n">
        <x:f>0</x:f>
        <x:v>0</x:v>
      </x:c>
      <x:c r="K32" s="69" t="n">
        <x:f>((INT((('01_Inputs'!$C$42)+('01_Inputs'!$C$8))/('01_Inputs'!$E$49))-INT(('01_Inputs'!$C$42)/('01_Inputs'!$E$49))))*((('01_Inputs'!$C$5)*(1+('01_Inputs'!$F$49))*((('01_Inputs'!$B$49)*('01_Inputs'!$C$49)+('01_Inputs'!$C$49)*('01_Inputs'!$D$49)))*('01_Inputs'!$C$37)))</x:f>
        <x:v>8589934592</x:v>
      </x:c>
      <x:c r="L32" s="69" t="n">
        <x:f>((INT((('01_Inputs'!$C$42)+('01_Inputs'!$C$8))/('01_Inputs'!$E$49))-INT(('01_Inputs'!$C$42)/('01_Inputs'!$E$49))))*(((('01_Inputs'!$C$5)*(1+('01_Inputs'!$F$49))*((('01_Inputs'!$B$49)*('01_Inputs'!$C$49)+('01_Inputs'!$C$49)*('01_Inputs'!$D$49)))*('01_Inputs'!$C$37)))+(0))</x:f>
        <x:v>8589934592</x:v>
      </x:c>
      <x:c r="M32" s="69" t="n">
        <x:f>0</x:f>
        <x:v>0</x:v>
      </x:c>
      <x:c r="N32" s="66" t="n">
        <x:f>IF((((INT((('01_Inputs'!$C$42)+('01_Inputs'!$C$8))/('01_Inputs'!$E$49))-INT(('01_Inputs'!$C$42)/('01_Inputs'!$E$49)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)=0,"",(((INT((('01_Inputs'!$C$42)+('01_Inputs'!$C$8))/('01_Inputs'!$E$49))-INT(('01_Inputs'!$C$42)/('01_Inputs'!$E$49))))*(0))/((((INT((('01_Inputs'!$C$42)+('01_Inputs'!$C$8))/('01_Inputs'!$E$49))-INT(('01_Inputs'!$C$42)/('01_Inputs'!$E$49)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)))</x:f>
        <x:v>0</x:v>
      </x:c>
      <x:c r="O32" s="66" t="n">
        <x:f>(((INT((('01_Inputs'!$C$42)+('01_Inputs'!$C$8))/('01_Inputs'!$E$49))-INT(('01_Inputs'!$C$42)/('01_Inputs'!$E$49))))*(0)/(('01_Inputs'!$C$33)*('02_HW'!$C$6))*('02_HW'!$C$10))</x:f>
        <x:v>0</x:v>
      </x:c>
      <x:c r="P32" s="66" t="n">
        <x:f>(((INT((('01_Inputs'!$C$42)+('01_Inputs'!$C$8))/('01_Inputs'!$E$49))-INT(('01_Inputs'!$C$42)/('01_Inputs'!$E$49)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/(('01_Inputs'!$C$34)*('02_HW'!$C$7))*('02_HW'!$C$10))</x:f>
        <x:v>2.321603943783784</x:v>
      </x:c>
      <x:c r="Q32" s="66" t="n">
        <x:f>(MAX((((INT((('01_Inputs'!$C$42)+('01_Inputs'!$C$8))/('01_Inputs'!$E$49))-INT(('01_Inputs'!$C$42)/('01_Inputs'!$E$49))))*(0)/(('01_Inputs'!$C$33)*('02_HW'!$C$6))*('02_HW'!$C$10)),(((INT((('01_Inputs'!$C$42)+('01_Inputs'!$C$8))/('01_Inputs'!$E$49))-INT(('01_Inputs'!$C$42)/('01_Inputs'!$E$49)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/(('01_Inputs'!$C$34)*('02_HW'!$C$7))*('02_HW'!$C$10)))+((INT((('01_Inputs'!$C$42)+('01_Inputs'!$C$8))/('01_Inputs'!$E$49))-INT(('01_Inputs'!$C$42)/('01_Inputs'!$E$49))))*('02_HW'!$C$9)*('02_HW'!$C$10))</x:f>
        <x:v>2.321603943783784</x:v>
      </x:c>
      <x:c r="R32" s="21" t="str">
        <x:f>IF(O32&gt;P32,"compute",IF(P32&gt;O32,"memory","balanced"))</x:f>
        <x:v>memory</x:v>
      </x:c>
      <x:c r="S32" s="24" t="str">
        <x:v>Boundary-count state RMW.</x:v>
      </x:c>
    </x:row>
    <x:row r="33">
      <x:c r="A33" s="21" t="n">
        <x:f>ROW()-5</x:f>
        <x:v>28</x:v>
      </x:c>
      <x:c r="B33" s="21" t="str">
        <x:v>prefill</x:v>
      </x:c>
      <x:c r="C33" s="21" t="str">
        <x:v>backward_update</x:v>
      </x:c>
      <x:c r="D33" s="21" t="str">
        <x:v>M_eta_weight_backward</x:v>
      </x:c>
      <x:c r="E33" s="24" t="str">
        <x:v>2NIH + 4NHO</x:v>
      </x:c>
      <x:c r="F33" s="66" t="n">
        <x:f>1</x:f>
        <x:v>1</x:v>
      </x:c>
      <x:c r="G33" s="69" t="n">
        <x:f>(2*((('01_Inputs'!$C$5)*('01_Inputs'!$C$8)))*('01_Inputs'!$B$50)*('01_Inputs'!$C$50)+4*((('01_Inputs'!$C$5)*('01_Inputs'!$C$8)))*('01_Inputs'!$C$50)*('01_Inputs'!$D$50))</x:f>
        <x:v>8798240505856</x:v>
      </x:c>
      <x:c r="H33" s="69" t="n">
        <x:f>(((('01_Inputs'!$C$5)*('01_Inputs'!$C$8)))*(('01_Inputs'!$B$50)+('01_Inputs'!$C$50)+('01_Inputs'!$D$50))*('01_Inputs'!$C$16))</x:f>
        <x:v>1073807360</x:v>
      </x:c>
      <x:c r="I33" s="69" t="n">
        <x:f>0</x:f>
        <x:v>0</x:v>
      </x:c>
      <x:c r="J33" s="69" t="n">
        <x:f>(('01_Inputs'!$C$5)*((('01_Inputs'!$B$50)*('01_Inputs'!$C$50)+('01_Inputs'!$C$50)*('01_Inputs'!$D$50)))*('01_Inputs'!$C$38))</x:f>
        <x:v>8590983168</x:v>
      </x:c>
      <x:c r="K33" s="69" t="n">
        <x:f>(1)*((((('01_Inputs'!$C$5)*('01_Inputs'!$C$8)))*(('01_Inputs'!$B$50)+('01_Inputs'!$C$50)+('01_Inputs'!$D$50))*('01_Inputs'!$C$16)))</x:f>
        <x:v>1073807360</x:v>
      </x:c>
      <x:c r="L33" s="69" t="n">
        <x:f>(1)*((0)+((('01_Inputs'!$C$5)*((('01_Inputs'!$B$50)*('01_Inputs'!$C$50)+('01_Inputs'!$C$50)*('01_Inputs'!$D$50)))*('01_Inputs'!$C$38))))</x:f>
        <x:v>8590983168</x:v>
      </x:c>
      <x:c r="M33" s="69" t="n">
        <x:f>0</x:f>
        <x:v>0</x:v>
      </x:c>
      <x:c r="N33" s="66" t="n">
        <x:f>IF(((1)*(((((('01_Inputs'!$C$5)*('01_Inputs'!$C$8)))*(('01_Inputs'!$B$50)+('01_Inputs'!$C$50)+('01_Inputs'!$D$50))*('01_Inputs'!$C$16)))+(0)+((('01_Inputs'!$C$5)*((('01_Inputs'!$B$50)*('01_Inputs'!$C$50)+('01_Inputs'!$C$50)*('01_Inputs'!$D$50)))*('01_Inputs'!$C$38)))))=0,"",((1)*((2*((('01_Inputs'!$C$5)*('01_Inputs'!$C$8)))*('01_Inputs'!$B$50)*('01_Inputs'!$C$50)+4*((('01_Inputs'!$C$5)*('01_Inputs'!$C$8)))*('01_Inputs'!$C$50)*('01_Inputs'!$D$50))))/(((1)*(((((('01_Inputs'!$C$5)*('01_Inputs'!$C$8)))*(('01_Inputs'!$B$50)+('01_Inputs'!$C$50)+('01_Inputs'!$D$50))*('01_Inputs'!$C$16)))+(0)+((('01_Inputs'!$C$5)*((('01_Inputs'!$B$50)*('01_Inputs'!$C$50)+('01_Inputs'!$C$50)*('01_Inputs'!$D$50)))*('01_Inputs'!$C$38)))))))</x:f>
        <x:v>910.3394926528924</x:v>
      </x:c>
      <x:c r="O33" s="66" t="n">
        <x:f>((1)*((2*((('01_Inputs'!$C$5)*('01_Inputs'!$C$8)))*('01_Inputs'!$B$50)*('01_Inputs'!$C$50)+4*((('01_Inputs'!$C$5)*('01_Inputs'!$C$8)))*('01_Inputs'!$C$50)*('01_Inputs'!$D$50)))/(('01_Inputs'!$C$33)*('02_HW'!$C$6))*('02_HW'!$C$10))</x:f>
        <x:v>1.9068575001855224</x:v>
      </x:c>
      <x:c r="P33" s="66" t="n">
        <x:f>((1)*(((((('01_Inputs'!$C$5)*('01_Inputs'!$C$8)))*(('01_Inputs'!$B$50)+('01_Inputs'!$C$50)+('01_Inputs'!$D$50))*('01_Inputs'!$C$16)))+(0)+((('01_Inputs'!$C$5)*((('01_Inputs'!$B$50)*('01_Inputs'!$C$50)+('01_Inputs'!$C$50)*('01_Inputs'!$D$50)))*('01_Inputs'!$C$38))))/(('01_Inputs'!$C$34)*('02_HW'!$C$7))*('02_HW'!$C$10))</x:f>
        <x:v>1.306052774054054</x:v>
      </x:c>
      <x:c r="Q33" s="66" t="n">
        <x:f>(MAX(((1)*((2*((('01_Inputs'!$C$5)*('01_Inputs'!$C$8)))*('01_Inputs'!$B$50)*('01_Inputs'!$C$50)+4*((('01_Inputs'!$C$5)*('01_Inputs'!$C$8)))*('01_Inputs'!$C$50)*('01_Inputs'!$D$50)))/(('01_Inputs'!$C$33)*('02_HW'!$C$6))*('02_HW'!$C$10)),((1)*(((((('01_Inputs'!$C$5)*('01_Inputs'!$C$8)))*(('01_Inputs'!$B$50)+('01_Inputs'!$C$50)+('01_Inputs'!$D$50))*('01_Inputs'!$C$16)))+(0)+((('01_Inputs'!$C$5)*((('01_Inputs'!$B$50)*('01_Inputs'!$C$50)+('01_Inputs'!$C$50)*('01_Inputs'!$D$50)))*('01_Inputs'!$C$38))))/(('01_Inputs'!$C$34)*('02_HW'!$C$7))*('02_HW'!$C$10)))+(1)*('02_HW'!$C$9)*('02_HW'!$C$10))</x:f>
        <x:v>1.9068575001855224</x:v>
      </x:c>
      <x:c r="R33" s="21" t="str">
        <x:f>IF(O33&gt;P33,"compute",IF(P33&gt;O33,"memory","balanced"))</x:f>
        <x:v>compute</x:v>
      </x:c>
      <x:c r="S33" s="24" t="str">
        <x:v>Weight-gradient backward; no input gradient.</x:v>
      </x:c>
    </x:row>
    <x:row r="34">
      <x:c r="A34" s="21" t="n">
        <x:f>ROW()-5</x:f>
        <x:v>29</x:v>
      </x:c>
      <x:c r="B34" s="21" t="str">
        <x:v>prefill</x:v>
      </x:c>
      <x:c r="C34" s="21" t="str">
        <x:v>backward_update</x:v>
      </x:c>
      <x:c r="D34" s="21" t="str">
        <x:v>M_eta_dgd_extra</x:v>
      </x:c>
      <x:c r="E34" s="24" t="str">
        <x:v>μFfwd − (2Ffwd+Fbwd)</x:v>
      </x:c>
      <x:c r="F34" s="66" t="n">
        <x:f>1</x:f>
        <x:v>1</x:v>
      </x:c>
      <x:c r="G34" s="69" t="n">
        <x:f>(('01_Inputs'!$G$50)*((2*((('01_Inputs'!$C$5)*('01_Inputs'!$C$8)))*((('01_Inputs'!$B$50)*('01_Inputs'!$C$50)+('01_Inputs'!$C$50)*('01_Inputs'!$D$50)))+((('01_Inputs'!$C$5)*('01_Inputs'!$C$8)))*(('01_Inputs'!$C$39)*('01_Inputs'!$C$50)+('01_Inputs'!$C$40)*('01_Inputs'!$D$50))))-(2*((2*((('01_Inputs'!$C$5)*('01_Inputs'!$C$8)))*((('01_Inputs'!$B$50)*('01_Inputs'!$C$50)+('01_Inputs'!$C$50)*('01_Inputs'!$D$50)))+((('01_Inputs'!$C$5)*('01_Inputs'!$C$8)))*(('01_Inputs'!$C$39)*('01_Inputs'!$C$50)+('01_Inputs'!$C$40)*('01_Inputs'!$D$50))))+((2*((('01_Inputs'!$C$5)*('01_Inputs'!$C$8)))*('01_Inputs'!$B$50)*('01_Inputs'!$C$50)+4*((('01_Inputs'!$C$5)*('01_Inputs'!$C$8)))*('01_Inputs'!$C$50)*('01_Inputs'!$D$50)))))</x:f>
        <x:v>8800388120576</x:v>
      </x:c>
      <x:c r="H34" s="69" t="n">
        <x:f>(('01_Inputs'!$C$5)*((('01_Inputs'!$B$50)*('01_Inputs'!$C$50)+('01_Inputs'!$C$50)*('01_Inputs'!$D$50)))*('01_Inputs'!$C$38))</x:f>
        <x:v>8590983168</x:v>
      </x:c>
      <x:c r="I34" s="69" t="n">
        <x:f>0</x:f>
        <x:v>0</x:v>
      </x:c>
      <x:c r="J34" s="69" t="n">
        <x:f>(('01_Inputs'!$C$5)*((('01_Inputs'!$B$50)*('01_Inputs'!$C$50)+('01_Inputs'!$C$50)*('01_Inputs'!$D$50)))*('01_Inputs'!$C$38))</x:f>
        <x:v>8590983168</x:v>
      </x:c>
      <x:c r="K34" s="69" t="n">
        <x:f>(1)*((('01_Inputs'!$C$5)*((('01_Inputs'!$B$50)*('01_Inputs'!$C$50)+('01_Inputs'!$C$50)*('01_Inputs'!$D$50)))*('01_Inputs'!$C$38)))</x:f>
        <x:v>8590983168</x:v>
      </x:c>
      <x:c r="L34" s="69" t="n">
        <x:f>(1)*((0)+((('01_Inputs'!$C$5)*((('01_Inputs'!$B$50)*('01_Inputs'!$C$50)+('01_Inputs'!$C$50)*('01_Inputs'!$D$50)))*('01_Inputs'!$C$38))))</x:f>
        <x:v>8590983168</x:v>
      </x:c>
      <x:c r="M34" s="69" t="n">
        <x:f>0</x:f>
        <x:v>0</x:v>
      </x:c>
      <x:c r="N34" s="66" t="n">
        <x:f>IF(((1)*(((('01_Inputs'!$C$5)*((('01_Inputs'!$B$50)*('01_Inputs'!$C$50)+('01_Inputs'!$C$50)*('01_Inputs'!$D$50)))*('01_Inputs'!$C$38)))+(0)+((('01_Inputs'!$C$5)*((('01_Inputs'!$B$50)*('01_Inputs'!$C$50)+('01_Inputs'!$C$50)*('01_Inputs'!$D$50)))*('01_Inputs'!$C$38)))))=0,"",((1)*((('01_Inputs'!$G$50)*((2*((('01_Inputs'!$C$5)*('01_Inputs'!$C$8)))*((('01_Inputs'!$B$50)*('01_Inputs'!$C$50)+('01_Inputs'!$C$50)*('01_Inputs'!$D$50)))+((('01_Inputs'!$C$5)*('01_Inputs'!$C$8)))*(('01_Inputs'!$C$39)*('01_Inputs'!$C$50)+('01_Inputs'!$C$40)*('01_Inputs'!$D$50))))-(2*((2*((('01_Inputs'!$C$5)*('01_Inputs'!$C$8)))*((('01_Inputs'!$B$50)*('01_Inputs'!$C$50)+('01_Inputs'!$C$50)*('01_Inputs'!$D$50)))+((('01_Inputs'!$C$5)*('01_Inputs'!$C$8)))*(('01_Inputs'!$C$39)*('01_Inputs'!$C$50)+('01_Inputs'!$C$40)*('01_Inputs'!$D$50))))+((2*((('01_Inputs'!$C$5)*('01_Inputs'!$C$8)))*('01_Inputs'!$B$50)*('01_Inputs'!$C$50)+4*((('01_Inputs'!$C$5)*('01_Inputs'!$C$8)))*('01_Inputs'!$C$50)*('01_Inputs'!$D$50)))))))/(((1)*(((('01_Inputs'!$C$5)*((('01_Inputs'!$B$50)*('01_Inputs'!$C$50)+('01_Inputs'!$C$50)*('01_Inputs'!$D$50)))*('01_Inputs'!$C$38)))+(0)+((('01_Inputs'!$C$5)*((('01_Inputs'!$B$50)*('01_Inputs'!$C$50)+('01_Inputs'!$C$50)*('01_Inputs'!$D$50)))*('01_Inputs'!$C$38)))))))</x:f>
        <x:v>512.1874847430734</x:v>
      </x:c>
      <x:c r="O34" s="66" t="n">
        <x:f>((1)*((('01_Inputs'!$G$50)*((2*((('01_Inputs'!$C$5)*('01_Inputs'!$C$8)))*((('01_Inputs'!$B$50)*('01_Inputs'!$C$50)+('01_Inputs'!$C$50)*('01_Inputs'!$D$50)))+((('01_Inputs'!$C$5)*('01_Inputs'!$C$8)))*(('01_Inputs'!$C$39)*('01_Inputs'!$C$50)+('01_Inputs'!$C$40)*('01_Inputs'!$D$50))))-(2*((2*((('01_Inputs'!$C$5)*('01_Inputs'!$C$8)))*((('01_Inputs'!$B$50)*('01_Inputs'!$C$50)+('01_Inputs'!$C$50)*('01_Inputs'!$D$50)))+((('01_Inputs'!$C$5)*('01_Inputs'!$C$8)))*(('01_Inputs'!$C$39)*('01_Inputs'!$C$50)+('01_Inputs'!$C$40)*('01_Inputs'!$D$50))))+((2*((('01_Inputs'!$C$5)*('01_Inputs'!$C$8)))*('01_Inputs'!$B$50)*('01_Inputs'!$C$50)+4*((('01_Inputs'!$C$5)*('01_Inputs'!$C$8)))*('01_Inputs'!$C$50)*('01_Inputs'!$D$50))))))/(('01_Inputs'!$C$33)*('02_HW'!$C$6))*('02_HW'!$C$10))</x:f>
        <x:v>1.907322956345037</x:v>
      </x:c>
      <x:c r="P34" s="66" t="n">
        <x:f>((1)*(((('01_Inputs'!$C$5)*((('01_Inputs'!$B$50)*('01_Inputs'!$C$50)+('01_Inputs'!$C$50)*('01_Inputs'!$D$50)))*('01_Inputs'!$C$38)))+(0)+((('01_Inputs'!$C$5)*((('01_Inputs'!$B$50)*('01_Inputs'!$C$50)+('01_Inputs'!$C$50)*('01_Inputs'!$D$50)))*('01_Inputs'!$C$38))))/(('01_Inputs'!$C$34)*('02_HW'!$C$7))*('02_HW'!$C$10))</x:f>
        <x:v>2.3218873427027025</x:v>
      </x:c>
      <x:c r="Q34" s="66" t="n">
        <x:f>(MAX(((1)*((('01_Inputs'!$G$50)*((2*((('01_Inputs'!$C$5)*('01_Inputs'!$C$8)))*((('01_Inputs'!$B$50)*('01_Inputs'!$C$50)+('01_Inputs'!$C$50)*('01_Inputs'!$D$50)))+((('01_Inputs'!$C$5)*('01_Inputs'!$C$8)))*(('01_Inputs'!$C$39)*('01_Inputs'!$C$50)+('01_Inputs'!$C$40)*('01_Inputs'!$D$50))))-(2*((2*((('01_Inputs'!$C$5)*('01_Inputs'!$C$8)))*((('01_Inputs'!$B$50)*('01_Inputs'!$C$50)+('01_Inputs'!$C$50)*('01_Inputs'!$D$50)))+((('01_Inputs'!$C$5)*('01_Inputs'!$C$8)))*(('01_Inputs'!$C$39)*('01_Inputs'!$C$50)+('01_Inputs'!$C$40)*('01_Inputs'!$D$50))))+((2*((('01_Inputs'!$C$5)*('01_Inputs'!$C$8)))*('01_Inputs'!$B$50)*('01_Inputs'!$C$50)+4*((('01_Inputs'!$C$5)*('01_Inputs'!$C$8)))*('01_Inputs'!$C$50)*('01_Inputs'!$D$50))))))/(('01_Inputs'!$C$33)*('02_HW'!$C$6))*('02_HW'!$C$10)),((1)*(((('01_Inputs'!$C$5)*((('01_Inputs'!$B$50)*('01_Inputs'!$C$50)+('01_Inputs'!$C$50)*('01_Inputs'!$D$50)))*('01_Inputs'!$C$38)))+(0)+((('01_Inputs'!$C$5)*((('01_Inputs'!$B$50)*('01_Inputs'!$C$50)+('01_Inputs'!$C$50)*('01_Inputs'!$D$50)))*('01_Inputs'!$C$38))))/(('01_Inputs'!$C$34)*('02_HW'!$C$7))*('02_HW'!$C$10)))+(1)*('02_HW'!$C$9)*('02_HW'!$C$10))</x:f>
        <x:v>2.3218873427027025</x:v>
      </x:c>
      <x:c r="R34" s="21" t="str">
        <x:f>IF(O34&gt;P34,"compute",IF(P34&gt;O34,"memory","balanced"))</x:f>
        <x:v>memory</x:v>
      </x:c>
      <x:c r="S34" s="24" t="str">
        <x:v>Residual DGD calibration after all loss terms.</x:v>
      </x:c>
    </x:row>
    <x:row r="35">
      <x:c r="A35" s="21" t="n">
        <x:f>ROW()-5</x:f>
        <x:v>30</x:v>
      </x:c>
      <x:c r="B35" s="21" t="str">
        <x:v>prefill</x:v>
      </x:c>
      <x:c r="C35" s="21" t="str">
        <x:v>backward_update</x:v>
      </x:c>
      <x:c r="D35" s="21" t="str">
        <x:v>M_eta_state_apply</x:v>
      </x:c>
      <x:c r="E35" s="24" t="str">
        <x:v>B(1+m)Pbs read + write</x:v>
      </x:c>
      <x:c r="F35" s="66" t="n">
        <x:f>(INT((('01_Inputs'!$C$42)+('01_Inputs'!$C$8))/('01_Inputs'!$E$50))-INT(('01_Inputs'!$C$42)/('01_Inputs'!$E$50)))</x:f>
        <x:v>1</x:v>
      </x:c>
      <x:c r="G35" s="69" t="n">
        <x:f>0</x:f>
        <x:v>0</x:v>
      </x:c>
      <x:c r="H35" s="69" t="n">
        <x:f>(('01_Inputs'!$C$5)*(1+('01_Inputs'!$F$50))*((('01_Inputs'!$B$50)*('01_Inputs'!$C$50)+('01_Inputs'!$C$50)*('01_Inputs'!$D$50)))*('01_Inputs'!$C$37))</x:f>
        <x:v>4295491584</x:v>
      </x:c>
      <x:c r="I35" s="69" t="n">
        <x:f>(('01_Inputs'!$C$5)*(1+('01_Inputs'!$F$50))*((('01_Inputs'!$B$50)*('01_Inputs'!$C$50)+('01_Inputs'!$C$50)*('01_Inputs'!$D$50)))*('01_Inputs'!$C$37))</x:f>
        <x:v>4295491584</x:v>
      </x:c>
      <x:c r="J35" s="69" t="n">
        <x:f>0</x:f>
        <x:v>0</x:v>
      </x:c>
      <x:c r="K35" s="69" t="n">
        <x:f>((INT((('01_Inputs'!$C$42)+('01_Inputs'!$C$8))/('01_Inputs'!$E$50))-INT(('01_Inputs'!$C$42)/('01_Inputs'!$E$50))))*((('01_Inputs'!$C$5)*(1+('01_Inputs'!$F$50))*((('01_Inputs'!$B$50)*('01_Inputs'!$C$50)+('01_Inputs'!$C$50)*('01_Inputs'!$D$50)))*('01_Inputs'!$C$37)))</x:f>
        <x:v>4295491584</x:v>
      </x:c>
      <x:c r="L35" s="69" t="n">
        <x:f>((INT((('01_Inputs'!$C$42)+('01_Inputs'!$C$8))/('01_Inputs'!$E$50))-INT(('01_Inputs'!$C$42)/('01_Inputs'!$E$50))))*(((('01_Inputs'!$C$5)*(1+('01_Inputs'!$F$50))*((('01_Inputs'!$B$50)*('01_Inputs'!$C$50)+('01_Inputs'!$C$50)*('01_Inputs'!$D$50)))*('01_Inputs'!$C$37)))+(0))</x:f>
        <x:v>4295491584</x:v>
      </x:c>
      <x:c r="M35" s="69" t="n">
        <x:f>0</x:f>
        <x:v>0</x:v>
      </x:c>
      <x:c r="N35" s="66" t="n">
        <x:f>IF((((INT((('01_Inputs'!$C$42)+('01_Inputs'!$C$8))/('01_Inputs'!$E$50))-INT(('01_Inputs'!$C$42)/('01_Inputs'!$E$50)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)=0,"",(((INT((('01_Inputs'!$C$42)+('01_Inputs'!$C$8))/('01_Inputs'!$E$50))-INT(('01_Inputs'!$C$42)/('01_Inputs'!$E$50))))*(0))/((((INT((('01_Inputs'!$C$42)+('01_Inputs'!$C$8))/('01_Inputs'!$E$50))-INT(('01_Inputs'!$C$42)/('01_Inputs'!$E$50)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)))</x:f>
        <x:v>0</x:v>
      </x:c>
      <x:c r="O35" s="66" t="n">
        <x:f>(((INT((('01_Inputs'!$C$42)+('01_Inputs'!$C$8))/('01_Inputs'!$E$50))-INT(('01_Inputs'!$C$42)/('01_Inputs'!$E$50))))*(0)/(('01_Inputs'!$C$33)*('02_HW'!$C$6))*('02_HW'!$C$10))</x:f>
        <x:v>0</x:v>
      </x:c>
      <x:c r="P35" s="66" t="n">
        <x:f>(((INT((('01_Inputs'!$C$42)+('01_Inputs'!$C$8))/('01_Inputs'!$E$50))-INT(('01_Inputs'!$C$42)/('01_Inputs'!$E$50)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/(('01_Inputs'!$C$34)*('02_HW'!$C$7))*('02_HW'!$C$10))</x:f>
        <x:v>1.1609436713513512</x:v>
      </x:c>
      <x:c r="Q35" s="66" t="n">
        <x:f>(MAX((((INT((('01_Inputs'!$C$42)+('01_Inputs'!$C$8))/('01_Inputs'!$E$50))-INT(('01_Inputs'!$C$42)/('01_Inputs'!$E$50))))*(0)/(('01_Inputs'!$C$33)*('02_HW'!$C$6))*('02_HW'!$C$10)),(((INT((('01_Inputs'!$C$42)+('01_Inputs'!$C$8))/('01_Inputs'!$E$50))-INT(('01_Inputs'!$C$42)/('01_Inputs'!$E$50)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/(('01_Inputs'!$C$34)*('02_HW'!$C$7))*('02_HW'!$C$10)))+((INT((('01_Inputs'!$C$42)+('01_Inputs'!$C$8))/('01_Inputs'!$E$50))-INT(('01_Inputs'!$C$42)/('01_Inputs'!$E$50))))*('02_HW'!$C$9)*('02_HW'!$C$10))</x:f>
        <x:v>1.1609436713513512</x:v>
      </x:c>
      <x:c r="R35" s="21" t="str">
        <x:f>IF(O35&gt;P35,"compute",IF(P35&gt;O35,"memory","balanced"))</x:f>
        <x:v>memory</x:v>
      </x:c>
      <x:c r="S35" s="24" t="str">
        <x:v>Boundary-count state RMW.</x:v>
      </x:c>
    </x:row>
    <x:row r="36">
      <x:c r="A36" s="21" t="n">
        <x:f>ROW()-5</x:f>
        <x:v>31</x:v>
      </x:c>
      <x:c r="B36" s="21" t="str">
        <x:v>prefill</x:v>
      </x:c>
      <x:c r="C36" s="21" t="str">
        <x:v>backward_update</x:v>
      </x:c>
      <x:c r="D36" s="21" t="str">
        <x:v>M_alpha_weight_backward</x:v>
      </x:c>
      <x:c r="E36" s="24" t="str">
        <x:v>2NIH + 4NHO</x:v>
      </x:c>
      <x:c r="F36" s="66" t="n">
        <x:f>1</x:f>
        <x:v>1</x:v>
      </x:c>
      <x:c r="G36" s="69" t="n">
        <x:f>(2*((('01_Inputs'!$C$5)*('01_Inputs'!$C$8)))*('01_Inputs'!$B$51)*('01_Inputs'!$C$51)+4*((('01_Inputs'!$C$5)*('01_Inputs'!$C$8)))*('01_Inputs'!$C$51)*('01_Inputs'!$D$51))</x:f>
        <x:v>8798240505856</x:v>
      </x:c>
      <x:c r="H36" s="69" t="n">
        <x:f>(((('01_Inputs'!$C$5)*('01_Inputs'!$C$8)))*(('01_Inputs'!$B$51)+('01_Inputs'!$C$51)+('01_Inputs'!$D$51))*('01_Inputs'!$C$16))</x:f>
        <x:v>1073807360</x:v>
      </x:c>
      <x:c r="I36" s="69" t="n">
        <x:f>0</x:f>
        <x:v>0</x:v>
      </x:c>
      <x:c r="J36" s="69" t="n">
        <x:f>(('01_Inputs'!$C$5)*((('01_Inputs'!$B$51)*('01_Inputs'!$C$51)+('01_Inputs'!$C$51)*('01_Inputs'!$D$51)))*('01_Inputs'!$C$38))</x:f>
        <x:v>8590983168</x:v>
      </x:c>
      <x:c r="K36" s="69" t="n">
        <x:f>(1)*((((('01_Inputs'!$C$5)*('01_Inputs'!$C$8)))*(('01_Inputs'!$B$51)+('01_Inputs'!$C$51)+('01_Inputs'!$D$51))*('01_Inputs'!$C$16)))</x:f>
        <x:v>1073807360</x:v>
      </x:c>
      <x:c r="L36" s="69" t="n">
        <x:f>(1)*((0)+((('01_Inputs'!$C$5)*((('01_Inputs'!$B$51)*('01_Inputs'!$C$51)+('01_Inputs'!$C$51)*('01_Inputs'!$D$51)))*('01_Inputs'!$C$38))))</x:f>
        <x:v>8590983168</x:v>
      </x:c>
      <x:c r="M36" s="69" t="n">
        <x:f>0</x:f>
        <x:v>0</x:v>
      </x:c>
      <x:c r="N36" s="66" t="n">
        <x:f>IF(((1)*(((((('01_Inputs'!$C$5)*('01_Inputs'!$C$8)))*(('01_Inputs'!$B$51)+('01_Inputs'!$C$51)+('01_Inputs'!$D$51))*('01_Inputs'!$C$16)))+(0)+((('01_Inputs'!$C$5)*((('01_Inputs'!$B$51)*('01_Inputs'!$C$51)+('01_Inputs'!$C$51)*('01_Inputs'!$D$51)))*('01_Inputs'!$C$38)))))=0,"",((1)*((2*((('01_Inputs'!$C$5)*('01_Inputs'!$C$8)))*('01_Inputs'!$B$51)*('01_Inputs'!$C$51)+4*((('01_Inputs'!$C$5)*('01_Inputs'!$C$8)))*('01_Inputs'!$C$51)*('01_Inputs'!$D$51))))/(((1)*(((((('01_Inputs'!$C$5)*('01_Inputs'!$C$8)))*(('01_Inputs'!$B$51)+('01_Inputs'!$C$51)+('01_Inputs'!$D$51))*('01_Inputs'!$C$16)))+(0)+((('01_Inputs'!$C$5)*((('01_Inputs'!$B$51)*('01_Inputs'!$C$51)+('01_Inputs'!$C$51)*('01_Inputs'!$D$51)))*('01_Inputs'!$C$38)))))))</x:f>
        <x:v>910.3394926528924</x:v>
      </x:c>
      <x:c r="O36" s="66" t="n">
        <x:f>((1)*((2*((('01_Inputs'!$C$5)*('01_Inputs'!$C$8)))*('01_Inputs'!$B$51)*('01_Inputs'!$C$51)+4*((('01_Inputs'!$C$5)*('01_Inputs'!$C$8)))*('01_Inputs'!$C$51)*('01_Inputs'!$D$51)))/(('01_Inputs'!$C$33)*('02_HW'!$C$6))*('02_HW'!$C$10))</x:f>
        <x:v>1.9068575001855224</x:v>
      </x:c>
      <x:c r="P36" s="66" t="n">
        <x:f>((1)*(((((('01_Inputs'!$C$5)*('01_Inputs'!$C$8)))*(('01_Inputs'!$B$51)+('01_Inputs'!$C$51)+('01_Inputs'!$D$51))*('01_Inputs'!$C$16)))+(0)+((('01_Inputs'!$C$5)*((('01_Inputs'!$B$51)*('01_Inputs'!$C$51)+('01_Inputs'!$C$51)*('01_Inputs'!$D$51)))*('01_Inputs'!$C$38))))/(('01_Inputs'!$C$34)*('02_HW'!$C$7))*('02_HW'!$C$10))</x:f>
        <x:v>1.306052774054054</x:v>
      </x:c>
      <x:c r="Q36" s="66" t="n">
        <x:f>(MAX(((1)*((2*((('01_Inputs'!$C$5)*('01_Inputs'!$C$8)))*('01_Inputs'!$B$51)*('01_Inputs'!$C$51)+4*((('01_Inputs'!$C$5)*('01_Inputs'!$C$8)))*('01_Inputs'!$C$51)*('01_Inputs'!$D$51)))/(('01_Inputs'!$C$33)*('02_HW'!$C$6))*('02_HW'!$C$10)),((1)*(((((('01_Inputs'!$C$5)*('01_Inputs'!$C$8)))*(('01_Inputs'!$B$51)+('01_Inputs'!$C$51)+('01_Inputs'!$D$51))*('01_Inputs'!$C$16)))+(0)+((('01_Inputs'!$C$5)*((('01_Inputs'!$B$51)*('01_Inputs'!$C$51)+('01_Inputs'!$C$51)*('01_Inputs'!$D$51)))*('01_Inputs'!$C$38))))/(('01_Inputs'!$C$34)*('02_HW'!$C$7))*('02_HW'!$C$10)))+(1)*('02_HW'!$C$9)*('02_HW'!$C$10))</x:f>
        <x:v>1.9068575001855224</x:v>
      </x:c>
      <x:c r="R36" s="21" t="str">
        <x:f>IF(O36&gt;P36,"compute",IF(P36&gt;O36,"memory","balanced"))</x:f>
        <x:v>compute</x:v>
      </x:c>
      <x:c r="S36" s="24" t="str">
        <x:v>Weight-gradient backward; no input gradient.</x:v>
      </x:c>
    </x:row>
    <x:row r="37">
      <x:c r="A37" s="21" t="n">
        <x:f>ROW()-5</x:f>
        <x:v>32</x:v>
      </x:c>
      <x:c r="B37" s="21" t="str">
        <x:v>prefill</x:v>
      </x:c>
      <x:c r="C37" s="21" t="str">
        <x:v>backward_update</x:v>
      </x:c>
      <x:c r="D37" s="21" t="str">
        <x:v>M_alpha_dgd_extra</x:v>
      </x:c>
      <x:c r="E37" s="24" t="str">
        <x:v>μFfwd − (2Ffwd+Fbwd)</x:v>
      </x:c>
      <x:c r="F37" s="66" t="n">
        <x:f>1</x:f>
        <x:v>1</x:v>
      </x:c>
      <x:c r="G37" s="69" t="n">
        <x:f>(('01_Inputs'!$G$51)*((2*((('01_Inputs'!$C$5)*('01_Inputs'!$C$8)))*((('01_Inputs'!$B$51)*('01_Inputs'!$C$51)+('01_Inputs'!$C$51)*('01_Inputs'!$D$51)))+((('01_Inputs'!$C$5)*('01_Inputs'!$C$8)))*(('01_Inputs'!$C$39)*('01_Inputs'!$C$51)+('01_Inputs'!$C$40)*('01_Inputs'!$D$51))))-(2*((2*((('01_Inputs'!$C$5)*('01_Inputs'!$C$8)))*((('01_Inputs'!$B$51)*('01_Inputs'!$C$51)+('01_Inputs'!$C$51)*('01_Inputs'!$D$51)))+((('01_Inputs'!$C$5)*('01_Inputs'!$C$8)))*(('01_Inputs'!$C$39)*('01_Inputs'!$C$51)+('01_Inputs'!$C$40)*('01_Inputs'!$D$51))))+((2*((('01_Inputs'!$C$5)*('01_Inputs'!$C$8)))*('01_Inputs'!$B$51)*('01_Inputs'!$C$51)+4*((('01_Inputs'!$C$5)*('01_Inputs'!$C$8)))*('01_Inputs'!$C$51)*('01_Inputs'!$D$51)))))</x:f>
        <x:v>8800388120576</x:v>
      </x:c>
      <x:c r="H37" s="69" t="n">
        <x:f>(('01_Inputs'!$C$5)*((('01_Inputs'!$B$51)*('01_Inputs'!$C$51)+('01_Inputs'!$C$51)*('01_Inputs'!$D$51)))*('01_Inputs'!$C$38))</x:f>
        <x:v>8590983168</x:v>
      </x:c>
      <x:c r="I37" s="69" t="n">
        <x:f>0</x:f>
        <x:v>0</x:v>
      </x:c>
      <x:c r="J37" s="69" t="n">
        <x:f>(('01_Inputs'!$C$5)*((('01_Inputs'!$B$51)*('01_Inputs'!$C$51)+('01_Inputs'!$C$51)*('01_Inputs'!$D$51)))*('01_Inputs'!$C$38))</x:f>
        <x:v>8590983168</x:v>
      </x:c>
      <x:c r="K37" s="69" t="n">
        <x:f>(1)*((('01_Inputs'!$C$5)*((('01_Inputs'!$B$51)*('01_Inputs'!$C$51)+('01_Inputs'!$C$51)*('01_Inputs'!$D$51)))*('01_Inputs'!$C$38)))</x:f>
        <x:v>8590983168</x:v>
      </x:c>
      <x:c r="L37" s="69" t="n">
        <x:f>(1)*((0)+((('01_Inputs'!$C$5)*((('01_Inputs'!$B$51)*('01_Inputs'!$C$51)+('01_Inputs'!$C$51)*('01_Inputs'!$D$51)))*('01_Inputs'!$C$38))))</x:f>
        <x:v>8590983168</x:v>
      </x:c>
      <x:c r="M37" s="69" t="n">
        <x:f>0</x:f>
        <x:v>0</x:v>
      </x:c>
      <x:c r="N37" s="66" t="n">
        <x:f>IF(((1)*(((('01_Inputs'!$C$5)*((('01_Inputs'!$B$51)*('01_Inputs'!$C$51)+('01_Inputs'!$C$51)*('01_Inputs'!$D$51)))*('01_Inputs'!$C$38)))+(0)+((('01_Inputs'!$C$5)*((('01_Inputs'!$B$51)*('01_Inputs'!$C$51)+('01_Inputs'!$C$51)*('01_Inputs'!$D$51)))*('01_Inputs'!$C$38)))))=0,"",((1)*((('01_Inputs'!$G$51)*((2*((('01_Inputs'!$C$5)*('01_Inputs'!$C$8)))*((('01_Inputs'!$B$51)*('01_Inputs'!$C$51)+('01_Inputs'!$C$51)*('01_Inputs'!$D$51)))+((('01_Inputs'!$C$5)*('01_Inputs'!$C$8)))*(('01_Inputs'!$C$39)*('01_Inputs'!$C$51)+('01_Inputs'!$C$40)*('01_Inputs'!$D$51))))-(2*((2*((('01_Inputs'!$C$5)*('01_Inputs'!$C$8)))*((('01_Inputs'!$B$51)*('01_Inputs'!$C$51)+('01_Inputs'!$C$51)*('01_Inputs'!$D$51)))+((('01_Inputs'!$C$5)*('01_Inputs'!$C$8)))*(('01_Inputs'!$C$39)*('01_Inputs'!$C$51)+('01_Inputs'!$C$40)*('01_Inputs'!$D$51))))+((2*((('01_Inputs'!$C$5)*('01_Inputs'!$C$8)))*('01_Inputs'!$B$51)*('01_Inputs'!$C$51)+4*((('01_Inputs'!$C$5)*('01_Inputs'!$C$8)))*('01_Inputs'!$C$51)*('01_Inputs'!$D$51)))))))/(((1)*(((('01_Inputs'!$C$5)*((('01_Inputs'!$B$51)*('01_Inputs'!$C$51)+('01_Inputs'!$C$51)*('01_Inputs'!$D$51)))*('01_Inputs'!$C$38)))+(0)+((('01_Inputs'!$C$5)*((('01_Inputs'!$B$51)*('01_Inputs'!$C$51)+('01_Inputs'!$C$51)*('01_Inputs'!$D$51)))*('01_Inputs'!$C$38)))))))</x:f>
        <x:v>512.1874847430734</x:v>
      </x:c>
      <x:c r="O37" s="66" t="n">
        <x:f>((1)*((('01_Inputs'!$G$51)*((2*((('01_Inputs'!$C$5)*('01_Inputs'!$C$8)))*((('01_Inputs'!$B$51)*('01_Inputs'!$C$51)+('01_Inputs'!$C$51)*('01_Inputs'!$D$51)))+((('01_Inputs'!$C$5)*('01_Inputs'!$C$8)))*(('01_Inputs'!$C$39)*('01_Inputs'!$C$51)+('01_Inputs'!$C$40)*('01_Inputs'!$D$51))))-(2*((2*((('01_Inputs'!$C$5)*('01_Inputs'!$C$8)))*((('01_Inputs'!$B$51)*('01_Inputs'!$C$51)+('01_Inputs'!$C$51)*('01_Inputs'!$D$51)))+((('01_Inputs'!$C$5)*('01_Inputs'!$C$8)))*(('01_Inputs'!$C$39)*('01_Inputs'!$C$51)+('01_Inputs'!$C$40)*('01_Inputs'!$D$51))))+((2*((('01_Inputs'!$C$5)*('01_Inputs'!$C$8)))*('01_Inputs'!$B$51)*('01_Inputs'!$C$51)+4*((('01_Inputs'!$C$5)*('01_Inputs'!$C$8)))*('01_Inputs'!$C$51)*('01_Inputs'!$D$51))))))/(('01_Inputs'!$C$33)*('02_HW'!$C$6))*('02_HW'!$C$10))</x:f>
        <x:v>1.907322956345037</x:v>
      </x:c>
      <x:c r="P37" s="66" t="n">
        <x:f>((1)*(((('01_Inputs'!$C$5)*((('01_Inputs'!$B$51)*('01_Inputs'!$C$51)+('01_Inputs'!$C$51)*('01_Inputs'!$D$51)))*('01_Inputs'!$C$38)))+(0)+((('01_Inputs'!$C$5)*((('01_Inputs'!$B$51)*('01_Inputs'!$C$51)+('01_Inputs'!$C$51)*('01_Inputs'!$D$51)))*('01_Inputs'!$C$38))))/(('01_Inputs'!$C$34)*('02_HW'!$C$7))*('02_HW'!$C$10))</x:f>
        <x:v>2.3218873427027025</x:v>
      </x:c>
      <x:c r="Q37" s="66" t="n">
        <x:f>(MAX(((1)*((('01_Inputs'!$G$51)*((2*((('01_Inputs'!$C$5)*('01_Inputs'!$C$8)))*((('01_Inputs'!$B$51)*('01_Inputs'!$C$51)+('01_Inputs'!$C$51)*('01_Inputs'!$D$51)))+((('01_Inputs'!$C$5)*('01_Inputs'!$C$8)))*(('01_Inputs'!$C$39)*('01_Inputs'!$C$51)+('01_Inputs'!$C$40)*('01_Inputs'!$D$51))))-(2*((2*((('01_Inputs'!$C$5)*('01_Inputs'!$C$8)))*((('01_Inputs'!$B$51)*('01_Inputs'!$C$51)+('01_Inputs'!$C$51)*('01_Inputs'!$D$51)))+((('01_Inputs'!$C$5)*('01_Inputs'!$C$8)))*(('01_Inputs'!$C$39)*('01_Inputs'!$C$51)+('01_Inputs'!$C$40)*('01_Inputs'!$D$51))))+((2*((('01_Inputs'!$C$5)*('01_Inputs'!$C$8)))*('01_Inputs'!$B$51)*('01_Inputs'!$C$51)+4*((('01_Inputs'!$C$5)*('01_Inputs'!$C$8)))*('01_Inputs'!$C$51)*('01_Inputs'!$D$51))))))/(('01_Inputs'!$C$33)*('02_HW'!$C$6))*('02_HW'!$C$10)),((1)*(((('01_Inputs'!$C$5)*((('01_Inputs'!$B$51)*('01_Inputs'!$C$51)+('01_Inputs'!$C$51)*('01_Inputs'!$D$51)))*('01_Inputs'!$C$38)))+(0)+((('01_Inputs'!$C$5)*((('01_Inputs'!$B$51)*('01_Inputs'!$C$51)+('01_Inputs'!$C$51)*('01_Inputs'!$D$51)))*('01_Inputs'!$C$38))))/(('01_Inputs'!$C$34)*('02_HW'!$C$7))*('02_HW'!$C$10)))+(1)*('02_HW'!$C$9)*('02_HW'!$C$10))</x:f>
        <x:v>2.3218873427027025</x:v>
      </x:c>
      <x:c r="R37" s="21" t="str">
        <x:f>IF(O37&gt;P37,"compute",IF(P37&gt;O37,"memory","balanced"))</x:f>
        <x:v>memory</x:v>
      </x:c>
      <x:c r="S37" s="24" t="str">
        <x:v>Residual DGD calibration after all loss terms.</x:v>
      </x:c>
    </x:row>
    <x:row r="38">
      <x:c r="A38" s="21" t="n">
        <x:f>ROW()-5</x:f>
        <x:v>33</x:v>
      </x:c>
      <x:c r="B38" s="21" t="str">
        <x:v>prefill</x:v>
      </x:c>
      <x:c r="C38" s="21" t="str">
        <x:v>backward_update</x:v>
      </x:c>
      <x:c r="D38" s="21" t="str">
        <x:v>M_alpha_state_apply</x:v>
      </x:c>
      <x:c r="E38" s="24" t="str">
        <x:v>B(1+m)Pbs read + write</x:v>
      </x:c>
      <x:c r="F38" s="66" t="n">
        <x:f>(INT((('01_Inputs'!$C$42)+('01_Inputs'!$C$8))/('01_Inputs'!$E$51))-INT(('01_Inputs'!$C$42)/('01_Inputs'!$E$51)))</x:f>
        <x:v>1</x:v>
      </x:c>
      <x:c r="G38" s="69" t="n">
        <x:f>0</x:f>
        <x:v>0</x:v>
      </x:c>
      <x:c r="H38" s="69" t="n">
        <x:f>(('01_Inputs'!$C$5)*(1+('01_Inputs'!$F$51))*((('01_Inputs'!$B$51)*('01_Inputs'!$C$51)+('01_Inputs'!$C$51)*('01_Inputs'!$D$51)))*('01_Inputs'!$C$37))</x:f>
        <x:v>4295491584</x:v>
      </x:c>
      <x:c r="I38" s="69" t="n">
        <x:f>(('01_Inputs'!$C$5)*(1+('01_Inputs'!$F$51))*((('01_Inputs'!$B$51)*('01_Inputs'!$C$51)+('01_Inputs'!$C$51)*('01_Inputs'!$D$51)))*('01_Inputs'!$C$37))</x:f>
        <x:v>4295491584</x:v>
      </x:c>
      <x:c r="J38" s="69" t="n">
        <x:f>0</x:f>
        <x:v>0</x:v>
      </x:c>
      <x:c r="K38" s="69" t="n">
        <x:f>((INT((('01_Inputs'!$C$42)+('01_Inputs'!$C$8))/('01_Inputs'!$E$51))-INT(('01_Inputs'!$C$42)/('01_Inputs'!$E$51))))*((('01_Inputs'!$C$5)*(1+('01_Inputs'!$F$51))*((('01_Inputs'!$B$51)*('01_Inputs'!$C$51)+('01_Inputs'!$C$51)*('01_Inputs'!$D$51)))*('01_Inputs'!$C$37)))</x:f>
        <x:v>4295491584</x:v>
      </x:c>
      <x:c r="L38" s="69" t="n">
        <x:f>((INT((('01_Inputs'!$C$42)+('01_Inputs'!$C$8))/('01_Inputs'!$E$51))-INT(('01_Inputs'!$C$42)/('01_Inputs'!$E$51))))*(((('01_Inputs'!$C$5)*(1+('01_Inputs'!$F$51))*((('01_Inputs'!$B$51)*('01_Inputs'!$C$51)+('01_Inputs'!$C$51)*('01_Inputs'!$D$51)))*('01_Inputs'!$C$37)))+(0))</x:f>
        <x:v>4295491584</x:v>
      </x:c>
      <x:c r="M38" s="69" t="n">
        <x:f>0</x:f>
        <x:v>0</x:v>
      </x:c>
      <x:c r="N38" s="66" t="n">
        <x:f>IF((((INT((('01_Inputs'!$C$42)+('01_Inputs'!$C$8))/('01_Inputs'!$E$51))-INT(('01_Inputs'!$C$42)/('01_Inputs'!$E$51)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)=0,"",(((INT((('01_Inputs'!$C$42)+('01_Inputs'!$C$8))/('01_Inputs'!$E$51))-INT(('01_Inputs'!$C$42)/('01_Inputs'!$E$51))))*(0))/((((INT((('01_Inputs'!$C$42)+('01_Inputs'!$C$8))/('01_Inputs'!$E$51))-INT(('01_Inputs'!$C$42)/('01_Inputs'!$E$51)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)))</x:f>
        <x:v>0</x:v>
      </x:c>
      <x:c r="O38" s="66" t="n">
        <x:f>(((INT((('01_Inputs'!$C$42)+('01_Inputs'!$C$8))/('01_Inputs'!$E$51))-INT(('01_Inputs'!$C$42)/('01_Inputs'!$E$51))))*(0)/(('01_Inputs'!$C$33)*('02_HW'!$C$6))*('02_HW'!$C$10))</x:f>
        <x:v>0</x:v>
      </x:c>
      <x:c r="P38" s="66" t="n">
        <x:f>(((INT((('01_Inputs'!$C$42)+('01_Inputs'!$C$8))/('01_Inputs'!$E$51))-INT(('01_Inputs'!$C$42)/('01_Inputs'!$E$51)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/(('01_Inputs'!$C$34)*('02_HW'!$C$7))*('02_HW'!$C$10))</x:f>
        <x:v>1.1609436713513512</x:v>
      </x:c>
      <x:c r="Q38" s="66" t="n">
        <x:f>(MAX((((INT((('01_Inputs'!$C$42)+('01_Inputs'!$C$8))/('01_Inputs'!$E$51))-INT(('01_Inputs'!$C$42)/('01_Inputs'!$E$51))))*(0)/(('01_Inputs'!$C$33)*('02_HW'!$C$6))*('02_HW'!$C$10)),(((INT((('01_Inputs'!$C$42)+('01_Inputs'!$C$8))/('01_Inputs'!$E$51))-INT(('01_Inputs'!$C$42)/('01_Inputs'!$E$51)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/(('01_Inputs'!$C$34)*('02_HW'!$C$7))*('02_HW'!$C$10)))+((INT((('01_Inputs'!$C$42)+('01_Inputs'!$C$8))/('01_Inputs'!$E$51))-INT(('01_Inputs'!$C$42)/('01_Inputs'!$E$51))))*('02_HW'!$C$9)*('02_HW'!$C$10))</x:f>
        <x:v>1.1609436713513512</x:v>
      </x:c>
      <x:c r="R38" s="21" t="str">
        <x:f>IF(O38&gt;P38,"compute",IF(P38&gt;O38,"memory","balanced"))</x:f>
        <x:v>memory</x:v>
      </x:c>
      <x:c r="S38" s="24" t="str">
        <x:v>Boundary-count state RMW.</x:v>
      </x:c>
    </x:row>
    <x:row r="39">
      <x:c r="A39" s="21" t="n">
        <x:f>ROW()-5</x:f>
        <x:v>34</x:v>
      </x:c>
      <x:c r="B39" s="21" t="str">
        <x:v>prefill</x:v>
      </x:c>
      <x:c r="C39" s="21" t="str">
        <x:v>backward_update</x:v>
      </x:c>
      <x:c r="D39" s="21" t="str">
        <x:v>M_mem_weight_backward</x:v>
      </x:c>
      <x:c r="E39" s="24" t="str">
        <x:v>2NIH + 4NHO</x:v>
      </x:c>
      <x:c r="F39" s="66" t="n">
        <x:f>1</x:f>
        <x:v>1</x:v>
      </x:c>
      <x:c r="G39" s="69" t="n">
        <x:f>(2*((('01_Inputs'!$C$5)*('01_Inputs'!$C$8)))*('01_Inputs'!$B$52)*('01_Inputs'!$C$52)+4*((('01_Inputs'!$C$5)*('01_Inputs'!$C$8)))*('01_Inputs'!$C$52)*('01_Inputs'!$D$52))</x:f>
        <x:v>26388279066624</x:v>
      </x:c>
      <x:c r="H39" s="69" t="n">
        <x:f>(((('01_Inputs'!$C$5)*('01_Inputs'!$C$8)))*(('01_Inputs'!$B$52)+('01_Inputs'!$C$52)+('01_Inputs'!$D$52))*('01_Inputs'!$C$16))</x:f>
        <x:v>1610612736</x:v>
      </x:c>
      <x:c r="I39" s="69" t="n">
        <x:f>0</x:f>
        <x:v>0</x:v>
      </x:c>
      <x:c r="J39" s="69" t="n">
        <x:f>(('01_Inputs'!$C$5)*((('01_Inputs'!$B$52)*('01_Inputs'!$C$52)+('01_Inputs'!$C$52)*('01_Inputs'!$D$52)))*('01_Inputs'!$C$38))</x:f>
        <x:v>17179869184</x:v>
      </x:c>
      <x:c r="K39" s="69" t="n">
        <x:f>(1)*((((('01_Inputs'!$C$5)*('01_Inputs'!$C$8)))*(('01_Inputs'!$B$52)+('01_Inputs'!$C$52)+('01_Inputs'!$D$52))*('01_Inputs'!$C$16)))</x:f>
        <x:v>1610612736</x:v>
      </x:c>
      <x:c r="L39" s="69" t="n">
        <x:f>(1)*((0)+((('01_Inputs'!$C$5)*((('01_Inputs'!$B$52)*('01_Inputs'!$C$52)+('01_Inputs'!$C$52)*('01_Inputs'!$D$52)))*('01_Inputs'!$C$38))))</x:f>
        <x:v>17179869184</x:v>
      </x:c>
      <x:c r="M39" s="69" t="n">
        <x:f>0</x:f>
        <x:v>0</x:v>
      </x:c>
      <x:c r="N39" s="66" t="n">
        <x:f>IF(((1)*(((((('01_Inputs'!$C$5)*('01_Inputs'!$C$8)))*(('01_Inputs'!$B$52)+('01_Inputs'!$C$52)+('01_Inputs'!$D$52))*('01_Inputs'!$C$16)))+(0)+((('01_Inputs'!$C$5)*((('01_Inputs'!$B$52)*('01_Inputs'!$C$52)+('01_Inputs'!$C$52)*('01_Inputs'!$D$52)))*('01_Inputs'!$C$38)))))=0,"",((1)*((2*((('01_Inputs'!$C$5)*('01_Inputs'!$C$8)))*('01_Inputs'!$B$52)*('01_Inputs'!$C$52)+4*((('01_Inputs'!$C$5)*('01_Inputs'!$C$8)))*('01_Inputs'!$C$52)*('01_Inputs'!$D$52))))/(((1)*(((((('01_Inputs'!$C$5)*('01_Inputs'!$C$8)))*(('01_Inputs'!$B$52)+('01_Inputs'!$C$52)+('01_Inputs'!$D$52))*('01_Inputs'!$C$16)))+(0)+((('01_Inputs'!$C$5)*((('01_Inputs'!$B$52)*('01_Inputs'!$C$52)+('01_Inputs'!$C$52)*('01_Inputs'!$D$52)))*('01_Inputs'!$C$38)))))))</x:f>
        <x:v>1404.3428571428572</x:v>
      </x:c>
      <x:c r="O39" s="66" t="n">
        <x:f>((1)*((2*((('01_Inputs'!$C$5)*('01_Inputs'!$C$8)))*('01_Inputs'!$B$52)*('01_Inputs'!$C$52)+4*((('01_Inputs'!$C$5)*('01_Inputs'!$C$8)))*('01_Inputs'!$C$52)*('01_Inputs'!$D$52)))/(('01_Inputs'!$C$33)*('02_HW'!$C$6))*('02_HW'!$C$10))</x:f>
        <x:v>5.71917621730039</x:v>
      </x:c>
      <x:c r="P39" s="66" t="n">
        <x:f>((1)*(((((('01_Inputs'!$C$5)*('01_Inputs'!$C$8)))*(('01_Inputs'!$B$52)+('01_Inputs'!$C$52)+('01_Inputs'!$D$52))*('01_Inputs'!$C$16)))+(0)+((('01_Inputs'!$C$5)*((('01_Inputs'!$B$52)*('01_Inputs'!$C$52)+('01_Inputs'!$C$52)*('01_Inputs'!$D$52)))*('01_Inputs'!$C$38))))/(('01_Inputs'!$C$34)*('02_HW'!$C$7))*('02_HW'!$C$10))</x:f>
        <x:v>2.5392543135135135</x:v>
      </x:c>
      <x:c r="Q39" s="66" t="n">
        <x:f>(MAX(((1)*((2*((('01_Inputs'!$C$5)*('01_Inputs'!$C$8)))*('01_Inputs'!$B$52)*('01_Inputs'!$C$52)+4*((('01_Inputs'!$C$5)*('01_Inputs'!$C$8)))*('01_Inputs'!$C$52)*('01_Inputs'!$D$52)))/(('01_Inputs'!$C$33)*('02_HW'!$C$6))*('02_HW'!$C$10)),((1)*(((((('01_Inputs'!$C$5)*('01_Inputs'!$C$8)))*(('01_Inputs'!$B$52)+('01_Inputs'!$C$52)+('01_Inputs'!$D$52))*('01_Inputs'!$C$16)))+(0)+((('01_Inputs'!$C$5)*((('01_Inputs'!$B$52)*('01_Inputs'!$C$52)+('01_Inputs'!$C$52)*('01_Inputs'!$D$52)))*('01_Inputs'!$C$38))))/(('01_Inputs'!$C$34)*('02_HW'!$C$7))*('02_HW'!$C$10)))+(1)*('02_HW'!$C$9)*('02_HW'!$C$10))</x:f>
        <x:v>5.71917621730039</x:v>
      </x:c>
      <x:c r="R39" s="21" t="str">
        <x:f>IF(O39&gt;P39,"compute",IF(P39&gt;O39,"memory","balanced"))</x:f>
        <x:v>compute</x:v>
      </x:c>
      <x:c r="S39" s="24" t="str">
        <x:v>Weight-gradient backward; no input gradient.</x:v>
      </x:c>
    </x:row>
    <x:row r="40">
      <x:c r="A40" s="21" t="n">
        <x:f>ROW()-5</x:f>
        <x:v>35</x:v>
      </x:c>
      <x:c r="B40" s="21" t="str">
        <x:v>prefill</x:v>
      </x:c>
      <x:c r="C40" s="21" t="str">
        <x:v>backward_update</x:v>
      </x:c>
      <x:c r="D40" s="21" t="str">
        <x:v>M_mem_dgd_extra</x:v>
      </x:c>
      <x:c r="E40" s="24" t="str">
        <x:v>μFfwd − (2Ffwd+Fbwd)</x:v>
      </x:c>
      <x:c r="F40" s="66" t="n">
        <x:f>1</x:f>
        <x:v>1</x:v>
      </x:c>
      <x:c r="G40" s="69" t="n">
        <x:f>(('01_Inputs'!$G$52)*((2*((('01_Inputs'!$C$5)*('01_Inputs'!$C$8)))*((('01_Inputs'!$B$52)*('01_Inputs'!$C$52)+('01_Inputs'!$C$52)*('01_Inputs'!$D$52)))+((('01_Inputs'!$C$5)*('01_Inputs'!$C$8)))*(('01_Inputs'!$C$39)*('01_Inputs'!$C$52)+('01_Inputs'!$C$40)*('01_Inputs'!$D$52))))-(2*((2*((('01_Inputs'!$C$5)*('01_Inputs'!$C$8)))*((('01_Inputs'!$B$52)*('01_Inputs'!$C$52)+('01_Inputs'!$C$52)*('01_Inputs'!$D$52)))+((('01_Inputs'!$C$5)*('01_Inputs'!$C$8)))*(('01_Inputs'!$C$39)*('01_Inputs'!$C$52)+('01_Inputs'!$C$40)*('01_Inputs'!$D$52))))+((2*((('01_Inputs'!$C$5)*('01_Inputs'!$C$8)))*('01_Inputs'!$B$52)*('01_Inputs'!$C$52)+4*((('01_Inputs'!$C$5)*('01_Inputs'!$C$8)))*('01_Inputs'!$C$52)*('01_Inputs'!$D$52)))))</x:f>
        <x:v>8801461731328</x:v>
      </x:c>
      <x:c r="H40" s="69" t="n">
        <x:f>(('01_Inputs'!$C$5)*((('01_Inputs'!$B$52)*('01_Inputs'!$C$52)+('01_Inputs'!$C$52)*('01_Inputs'!$D$52)))*('01_Inputs'!$C$38))</x:f>
        <x:v>17179869184</x:v>
      </x:c>
      <x:c r="I40" s="69" t="n">
        <x:f>0</x:f>
        <x:v>0</x:v>
      </x:c>
      <x:c r="J40" s="69" t="n">
        <x:f>(('01_Inputs'!$C$5)*((('01_Inputs'!$B$52)*('01_Inputs'!$C$52)+('01_Inputs'!$C$52)*('01_Inputs'!$D$52)))*('01_Inputs'!$C$38))</x:f>
        <x:v>17179869184</x:v>
      </x:c>
      <x:c r="K40" s="69" t="n">
        <x:f>(1)*((('01_Inputs'!$C$5)*((('01_Inputs'!$B$52)*('01_Inputs'!$C$52)+('01_Inputs'!$C$52)*('01_Inputs'!$D$52)))*('01_Inputs'!$C$38)))</x:f>
        <x:v>17179869184</x:v>
      </x:c>
      <x:c r="L40" s="69" t="n">
        <x:f>(1)*((0)+((('01_Inputs'!$C$5)*((('01_Inputs'!$B$52)*('01_Inputs'!$C$52)+('01_Inputs'!$C$52)*('01_Inputs'!$D$52)))*('01_Inputs'!$C$38))))</x:f>
        <x:v>17179869184</x:v>
      </x:c>
      <x:c r="M40" s="69" t="n">
        <x:f>0</x:f>
        <x:v>0</x:v>
      </x:c>
      <x:c r="N40" s="66" t="n">
        <x:f>IF(((1)*(((('01_Inputs'!$C$5)*((('01_Inputs'!$B$52)*('01_Inputs'!$C$52)+('01_Inputs'!$C$52)*('01_Inputs'!$D$52)))*('01_Inputs'!$C$38)))+(0)+((('01_Inputs'!$C$5)*((('01_Inputs'!$B$52)*('01_Inputs'!$C$52)+('01_Inputs'!$C$52)*('01_Inputs'!$D$52)))*('01_Inputs'!$C$38)))))=0,"",((1)*((('01_Inputs'!$G$52)*((2*((('01_Inputs'!$C$5)*('01_Inputs'!$C$8)))*((('01_Inputs'!$B$52)*('01_Inputs'!$C$52)+('01_Inputs'!$C$52)*('01_Inputs'!$D$52)))+((('01_Inputs'!$C$5)*('01_Inputs'!$C$8)))*(('01_Inputs'!$C$39)*('01_Inputs'!$C$52)+('01_Inputs'!$C$40)*('01_Inputs'!$D$52))))-(2*((2*((('01_Inputs'!$C$5)*('01_Inputs'!$C$8)))*((('01_Inputs'!$B$52)*('01_Inputs'!$C$52)+('01_Inputs'!$C$52)*('01_Inputs'!$D$52)))+((('01_Inputs'!$C$5)*('01_Inputs'!$C$8)))*(('01_Inputs'!$C$39)*('01_Inputs'!$C$52)+('01_Inputs'!$C$40)*('01_Inputs'!$D$52))))+((2*((('01_Inputs'!$C$5)*('01_Inputs'!$C$8)))*('01_Inputs'!$B$52)*('01_Inputs'!$C$52)+4*((('01_Inputs'!$C$5)*('01_Inputs'!$C$8)))*('01_Inputs'!$C$52)*('01_Inputs'!$D$52)))))))/(((1)*(((('01_Inputs'!$C$5)*((('01_Inputs'!$B$52)*('01_Inputs'!$C$52)+('01_Inputs'!$C$52)*('01_Inputs'!$D$52)))*('01_Inputs'!$C$38)))+(0)+((('01_Inputs'!$C$5)*((('01_Inputs'!$B$52)*('01_Inputs'!$C$52)+('01_Inputs'!$C$52)*('01_Inputs'!$D$52)))*('01_Inputs'!$C$38)))))))</x:f>
        <x:v>256.15625</x:v>
      </x:c>
      <x:c r="O40" s="66" t="n">
        <x:f>((1)*((('01_Inputs'!$G$52)*((2*((('01_Inputs'!$C$5)*('01_Inputs'!$C$8)))*((('01_Inputs'!$B$52)*('01_Inputs'!$C$52)+('01_Inputs'!$C$52)*('01_Inputs'!$D$52)))+((('01_Inputs'!$C$5)*('01_Inputs'!$C$8)))*(('01_Inputs'!$C$39)*('01_Inputs'!$C$52)+('01_Inputs'!$C$40)*('01_Inputs'!$D$52))))-(2*((2*((('01_Inputs'!$C$5)*('01_Inputs'!$C$8)))*((('01_Inputs'!$B$52)*('01_Inputs'!$C$52)+('01_Inputs'!$C$52)*('01_Inputs'!$D$52)))+((('01_Inputs'!$C$5)*('01_Inputs'!$C$8)))*(('01_Inputs'!$C$39)*('01_Inputs'!$C$52)+('01_Inputs'!$C$40)*('01_Inputs'!$D$52))))+((2*((('01_Inputs'!$C$5)*('01_Inputs'!$C$8)))*('01_Inputs'!$B$52)*('01_Inputs'!$C$52)+4*((('01_Inputs'!$C$5)*('01_Inputs'!$C$8)))*('01_Inputs'!$C$52)*('01_Inputs'!$D$52))))))/(('01_Inputs'!$C$33)*('02_HW'!$C$6))*('02_HW'!$C$10))</x:f>
        <x:v>1.9075556418136108</x:v>
      </x:c>
      <x:c r="P40" s="66" t="n">
        <x:f>((1)*(((('01_Inputs'!$C$5)*((('01_Inputs'!$B$52)*('01_Inputs'!$C$52)+('01_Inputs'!$C$52)*('01_Inputs'!$D$52)))*('01_Inputs'!$C$38)))+(0)+((('01_Inputs'!$C$5)*((('01_Inputs'!$B$52)*('01_Inputs'!$C$52)+('01_Inputs'!$C$52)*('01_Inputs'!$D$52)))*('01_Inputs'!$C$38))))/(('01_Inputs'!$C$34)*('02_HW'!$C$7))*('02_HW'!$C$10))</x:f>
        <x:v>4.643207887567568</x:v>
      </x:c>
      <x:c r="Q40" s="66" t="n">
        <x:f>(MAX(((1)*((('01_Inputs'!$G$52)*((2*((('01_Inputs'!$C$5)*('01_Inputs'!$C$8)))*((('01_Inputs'!$B$52)*('01_Inputs'!$C$52)+('01_Inputs'!$C$52)*('01_Inputs'!$D$52)))+((('01_Inputs'!$C$5)*('01_Inputs'!$C$8)))*(('01_Inputs'!$C$39)*('01_Inputs'!$C$52)+('01_Inputs'!$C$40)*('01_Inputs'!$D$52))))-(2*((2*((('01_Inputs'!$C$5)*('01_Inputs'!$C$8)))*((('01_Inputs'!$B$52)*('01_Inputs'!$C$52)+('01_Inputs'!$C$52)*('01_Inputs'!$D$52)))+((('01_Inputs'!$C$5)*('01_Inputs'!$C$8)))*(('01_Inputs'!$C$39)*('01_Inputs'!$C$52)+('01_Inputs'!$C$40)*('01_Inputs'!$D$52))))+((2*((('01_Inputs'!$C$5)*('01_Inputs'!$C$8)))*('01_Inputs'!$B$52)*('01_Inputs'!$C$52)+4*((('01_Inputs'!$C$5)*('01_Inputs'!$C$8)))*('01_Inputs'!$C$52)*('01_Inputs'!$D$52))))))/(('01_Inputs'!$C$33)*('02_HW'!$C$6))*('02_HW'!$C$10)),((1)*(((('01_Inputs'!$C$5)*((('01_Inputs'!$B$52)*('01_Inputs'!$C$52)+('01_Inputs'!$C$52)*('01_Inputs'!$D$52)))*('01_Inputs'!$C$38)))+(0)+((('01_Inputs'!$C$5)*((('01_Inputs'!$B$52)*('01_Inputs'!$C$52)+('01_Inputs'!$C$52)*('01_Inputs'!$D$52)))*('01_Inputs'!$C$38))))/(('01_Inputs'!$C$34)*('02_HW'!$C$7))*('02_HW'!$C$10)))+(1)*('02_HW'!$C$9)*('02_HW'!$C$10))</x:f>
        <x:v>4.643207887567568</x:v>
      </x:c>
      <x:c r="R40" s="21" t="str">
        <x:f>IF(O40&gt;P40,"compute",IF(P40&gt;O40,"memory","balanced"))</x:f>
        <x:v>memory</x:v>
      </x:c>
      <x:c r="S40" s="24" t="str">
        <x:v>Residual DGD calibration after all loss terms.</x:v>
      </x:c>
    </x:row>
    <x:row r="41">
      <x:c r="A41" s="22" t="n">
        <x:f>ROW()-5</x:f>
        <x:v>36</x:v>
      </x:c>
      <x:c r="B41" s="22" t="str">
        <x:v>prefill</x:v>
      </x:c>
      <x:c r="C41" s="22" t="str">
        <x:v>backward_update</x:v>
      </x:c>
      <x:c r="D41" s="22" t="str">
        <x:v>M_mem_state_apply</x:v>
      </x:c>
      <x:c r="E41" s="25" t="str">
        <x:v>B(1+m)Pbs read + write</x:v>
      </x:c>
      <x:c r="F41" s="67" t="n">
        <x:f>(INT((('01_Inputs'!$C$42)+('01_Inputs'!$C$8))/('01_Inputs'!$E$52))-INT(('01_Inputs'!$C$42)/('01_Inputs'!$E$52)))</x:f>
        <x:v>1</x:v>
      </x:c>
      <x:c r="G41" s="70" t="n">
        <x:f>0</x:f>
        <x:v>0</x:v>
      </x:c>
      <x:c r="H41" s="70" t="n">
        <x:f>(('01_Inputs'!$C$5)*(1+('01_Inputs'!$F$52))*((('01_Inputs'!$B$52)*('01_Inputs'!$C$52)+('01_Inputs'!$C$52)*('01_Inputs'!$D$52)))*('01_Inputs'!$C$37))</x:f>
        <x:v>8589934592</x:v>
      </x:c>
      <x:c r="I41" s="70" t="n">
        <x:f>(('01_Inputs'!$C$5)*(1+('01_Inputs'!$F$52))*((('01_Inputs'!$B$52)*('01_Inputs'!$C$52)+('01_Inputs'!$C$52)*('01_Inputs'!$D$52)))*('01_Inputs'!$C$37))</x:f>
        <x:v>8589934592</x:v>
      </x:c>
      <x:c r="J41" s="70" t="n">
        <x:f>0</x:f>
        <x:v>0</x:v>
      </x:c>
      <x:c r="K41" s="70" t="n">
        <x:f>((INT((('01_Inputs'!$C$42)+('01_Inputs'!$C$8))/('01_Inputs'!$E$52))-INT(('01_Inputs'!$C$42)/('01_Inputs'!$E$52))))*((('01_Inputs'!$C$5)*(1+('01_Inputs'!$F$52))*((('01_Inputs'!$B$52)*('01_Inputs'!$C$52)+('01_Inputs'!$C$52)*('01_Inputs'!$D$52)))*('01_Inputs'!$C$37)))</x:f>
        <x:v>8589934592</x:v>
      </x:c>
      <x:c r="L41" s="70" t="n">
        <x:f>((INT((('01_Inputs'!$C$42)+('01_Inputs'!$C$8))/('01_Inputs'!$E$52))-INT(('01_Inputs'!$C$42)/('01_Inputs'!$E$52))))*(((('01_Inputs'!$C$5)*(1+('01_Inputs'!$F$52))*((('01_Inputs'!$B$52)*('01_Inputs'!$C$52)+('01_Inputs'!$C$52)*('01_Inputs'!$D$52)))*('01_Inputs'!$C$37)))+(0))</x:f>
        <x:v>8589934592</x:v>
      </x:c>
      <x:c r="M41" s="70" t="n">
        <x:f>0</x:f>
        <x:v>0</x:v>
      </x:c>
      <x:c r="N41" s="67" t="n">
        <x:f>IF((((INT((('01_Inputs'!$C$42)+('01_Inputs'!$C$8))/('01_Inputs'!$E$52))-INT(('01_Inputs'!$C$42)/('01_Inputs'!$E$52)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)=0,"",(((INT((('01_Inputs'!$C$42)+('01_Inputs'!$C$8))/('01_Inputs'!$E$52))-INT(('01_Inputs'!$C$42)/('01_Inputs'!$E$52))))*(0))/((((INT((('01_Inputs'!$C$42)+('01_Inputs'!$C$8))/('01_Inputs'!$E$52))-INT(('01_Inputs'!$C$42)/('01_Inputs'!$E$52)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)))</x:f>
        <x:v>0</x:v>
      </x:c>
      <x:c r="O41" s="67" t="n">
        <x:f>(((INT((('01_Inputs'!$C$42)+('01_Inputs'!$C$8))/('01_Inputs'!$E$52))-INT(('01_Inputs'!$C$42)/('01_Inputs'!$E$52))))*(0)/(('01_Inputs'!$C$33)*('02_HW'!$C$6))*('02_HW'!$C$10))</x:f>
        <x:v>0</x:v>
      </x:c>
      <x:c r="P41" s="67" t="n">
        <x:f>(((INT((('01_Inputs'!$C$42)+('01_Inputs'!$C$8))/('01_Inputs'!$E$52))-INT(('01_Inputs'!$C$42)/('01_Inputs'!$E$52)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/(('01_Inputs'!$C$34)*('02_HW'!$C$7))*('02_HW'!$C$10))</x:f>
        <x:v>2.321603943783784</x:v>
      </x:c>
      <x:c r="Q41" s="67" t="n">
        <x:f>(MAX((((INT((('01_Inputs'!$C$42)+('01_Inputs'!$C$8))/('01_Inputs'!$E$52))-INT(('01_Inputs'!$C$42)/('01_Inputs'!$E$52))))*(0)/(('01_Inputs'!$C$33)*('02_HW'!$C$6))*('02_HW'!$C$10)),(((INT((('01_Inputs'!$C$42)+('01_Inputs'!$C$8))/('01_Inputs'!$E$52))-INT(('01_Inputs'!$C$42)/('01_Inputs'!$E$52)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/(('01_Inputs'!$C$34)*('02_HW'!$C$7))*('02_HW'!$C$10)))+((INT((('01_Inputs'!$C$42)+('01_Inputs'!$C$8))/('01_Inputs'!$E$52))-INT(('01_Inputs'!$C$42)/('01_Inputs'!$E$52))))*('02_HW'!$C$9)*('02_HW'!$C$10))</x:f>
        <x:v>2.321603943783784</x:v>
      </x:c>
      <x:c r="R41" s="22" t="str">
        <x:f>IF(O41&gt;P41,"compute",IF(P41&gt;O41,"memory","balanced"))</x:f>
        <x:v>memory</x:v>
      </x:c>
      <x:c r="S41" s="25" t="str">
        <x:v>Boundary-count state RMW.</x:v>
      </x:c>
    </x:row>
    <x:row r="44">
      <x:c r="A44" s="50" t="str">
        <x:v>Dependency group</x:v>
      </x:c>
      <x:c r="B44" s="51" t="str">
        <x:v>FLOPs</x:v>
      </x:c>
      <x:c r="C44" s="51" t="str">
        <x:v>HBM read B</x:v>
      </x:c>
      <x:c r="D44" s="51" t="str">
        <x:v>HBM write B</x:v>
      </x:c>
      <x:c r="E44" s="52" t="str">
        <x:v>Stagewise ms</x:v>
      </x:c>
    </x:row>
    <x:row r="45">
      <x:c r="A45" s="20" t="str">
        <x:v>Titans forward</x:v>
      </x:c>
      <x:c r="B45" s="73" t="n">
        <x:f>SUMIF($C$6:$C$41,"titans_forward",$G$6:$G$41)</x:f>
        <x:v>26390963421184</x:v>
      </x:c>
      <x:c r="C45" s="73" t="n">
        <x:f>SUMIF($C$6:$C$41,"titans_forward",$K$6:$K$41)</x:f>
        <x:v>5435817984</x:v>
      </x:c>
      <x:c r="D45" s="73" t="n">
        <x:f>SUMIF($C$6:$C$41,"titans_forward",$L$6:$L$41)</x:f>
        <x:v>1073741824</x:v>
      </x:c>
      <x:c r="E45" s="65" t="n">
        <x:f>SUMIF($C$6:$C$41,"titans_forward",$Q$6:$Q$41)</x:f>
        <x:v>5.7197580019904635</x:v>
      </x:c>
    </x:row>
    <x:row r="46">
      <x:c r="A46" s="21" t="str">
        <x:v>CMS forward</x:v>
      </x:c>
      <x:c r="B46" s="74" t="n">
        <x:f>SUMIF($C$6:$C$41,"cms_forward",$G$6:$G$41)</x:f>
        <x:v>893382557696</x:v>
      </x:c>
      <x:c r="C46" s="74" t="n">
        <x:f>SUMIF($C$6:$C$41,"cms_forward",$K$6:$K$41)</x:f>
        <x:v>18385207296</x:v>
      </x:c>
      <x:c r="D46" s="74" t="n">
        <x:f>SUMIF($C$6:$C$41,"cms_forward",$L$6:$L$41)</x:f>
        <x:v>1624768512</x:v>
      </x:c>
      <x:c r="E46" s="66" t="n">
        <x:f>SUMIF($C$6:$C$41,"cms_forward",$Q$6:$Q$41)</x:f>
        <x:v>2.704050784864865</x:v>
      </x:c>
    </x:row>
    <x:row r="47">
      <x:c r="A47" s="21" t="str">
        <x:v>Forward total</x:v>
      </x:c>
      <x:c r="B47" s="74" t="n">
        <x:f>SUMIF($C$6:$C$41,"titans_forward",$G$6:$G$41)+SUMIF($C$6:$C$41,"cms_forward",$G$6:$G$41)</x:f>
        <x:v>27284345978880</x:v>
      </x:c>
      <x:c r="C47" s="74" t="n">
        <x:f>SUMIF($C$6:$C$41,"titans_forward",$K$6:$K$41)+SUMIF($C$6:$C$41,"cms_forward",$K$6:$K$41)</x:f>
        <x:v>23821025280</x:v>
      </x:c>
      <x:c r="D47" s="74" t="n">
        <x:f>SUMIF($C$6:$C$41,"titans_forward",$L$6:$L$41)+SUMIF($C$6:$C$41,"cms_forward",$L$6:$L$41)</x:f>
        <x:v>2698510336</x:v>
      </x:c>
      <x:c r="E47" s="66" t="n">
        <x:f>SUMIF($C$6:$C$41,"titans_forward",$Q$6:$Q$41)+SUMIF($C$6:$C$41,"cms_forward",$Q$6:$Q$41)</x:f>
        <x:v>8.423808786855329</x:v>
      </x:c>
    </x:row>
    <x:row r="48">
      <x:c r="A48" s="21" t="str">
        <x:v>Loss</x:v>
      </x:c>
      <x:c r="B48" s="74" t="n">
        <x:f>SUMIF($C$6:$C$41,"loss",$G$6:$G$41)</x:f>
        <x:v>140766479646720</x:v>
      </x:c>
      <x:c r="C48" s="74" t="n">
        <x:f>SUMIF($C$6:$C$41,"loss",$K$6:$K$41)</x:f>
        <x:v>22549102592</x:v>
      </x:c>
      <x:c r="D48" s="74" t="n">
        <x:f>SUMIF($C$6:$C$41,"loss",$L$6:$L$41)</x:f>
        <x:v>3221487616</x:v>
      </x:c>
      <x:c r="E48" s="66" t="n">
        <x:f>SUMIF($C$6:$C$41,"loss",$Q$6:$Q$41)</x:f>
        <x:v>30.50855649040312</x:v>
      </x:c>
    </x:row>
    <x:row r="49">
      <x:c r="A49" s="22" t="str">
        <x:v>Backward + update</x:v>
      </x:c>
      <x:c r="B49" s="75" t="n">
        <x:f>SUMIF($C$6:$C$41,"backward_update",$G$6:$G$41)</x:f>
        <x:v>140766479646720</x:v>
      </x:c>
      <x:c r="C49" s="75" t="n">
        <x:f>SUMIF($C$6:$C$41,"backward_update",$K$6:$K$41)</x:f>
        <x:v>110061813760</x:v>
      </x:c>
      <x:c r="D49" s="75" t="n">
        <x:f>SUMIF($C$6:$C$41,"backward_update",$L$6:$L$41)</x:f>
        <x:v>171803934720</x:v>
      </x:c>
      <x:c r="E49" s="67" t="n">
        <x:f>SUMIF($C$6:$C$41,"backward_update",$Q$6:$Q$41)</x:f>
        <x:v>48.831341174434385</x:v>
      </x:c>
    </x:row>
  </x:sheetData>
  <x:mergeCells>
    <x:mergeCell ref="A1:S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27" hidden="0" customWidth="1"/>
    <x:col min="5" max="5" width="31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18" hidden="0" customWidth="1"/>
    <x:col min="14" max="14" width="12" hidden="0" customWidth="1"/>
    <x:col min="15" max="15" width="13" hidden="0" customWidth="1"/>
    <x:col min="16" max="16" width="13" hidden="0" customWidth="1"/>
    <x:col min="17" max="17" width="13" hidden="0" customWidth="1"/>
    <x:col min="18" max="18" width="12" hidden="0" customWidth="1"/>
    <x:col min="19" max="19" width="42" hidden="0" customWidth="1"/>
  </x:cols>
  <x:sheetData>
    <x:row r="1" ht="28" customHeight="1">
      <x:c r="A1" s="3" t="str">
        <x:v>21 · HOPE decode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58" t="str">
        <x:v>Total FLOPs</x:v>
      </x:c>
      <x:c r="B2" s="59" t="str">
        <x:v>HBM read B</x:v>
      </x:c>
      <x:c r="C2" s="59" t="str">
        <x:v>HBM write B</x:v>
      </x:c>
      <x:c r="D2" s="59" t="str">
        <x:v>HBM total B</x:v>
      </x:c>
      <x:c r="E2" s="59" t="str">
        <x:v>Persistent state B</x:v>
      </x:c>
      <x:c r="F2" s="59" t="str">
        <x:v>AI FLOP/B</x:v>
      </x:c>
      <x:c r="G2" s="59" t="str">
        <x:v>Aggregate compute ms</x:v>
      </x:c>
      <x:c r="H2" s="59" t="str">
        <x:v>Aggregate HBM ms</x:v>
      </x:c>
      <x:c r="I2" s="59" t="str">
        <x:v>Aggregate latency ms</x:v>
      </x:c>
      <x:c r="J2" s="59" t="str">
        <x:v>Stagewise latency ms</x:v>
      </x:c>
      <x:c r="K2" s="59" t="str">
        <x:v>Bound</x:v>
      </x:c>
      <x:c r="L2" s="59" t="str">
        <x:v>HBM fit</x:v>
      </x:c>
      <x:c r="M2" s="59" t="str">
        <x:v>Ridge AI</x:v>
      </x:c>
      <x:c r="N2" s="60" t="str">
        <x:v>Ridge class</x:v>
      </x:c>
      <x:c r="O2" s="71"/>
      <x:c r="P2" s="71"/>
      <x:c r="Q2" s="71"/>
      <x:c r="R2" s="71"/>
      <x:c r="S2" s="71"/>
    </x:row>
    <x:row r="3">
      <x:c r="A3" s="63" t="n">
        <x:f>SUM(G12:G47)</x:f>
        <x:v>150789699840</x:v>
      </x:c>
      <x:c r="B3" s="63" t="n">
        <x:f>SUM(K12:K47)</x:f>
        <x:v>90507058496</x:v>
      </x:c>
      <x:c r="C3" s="63" t="n">
        <x:f>SUM(L12:L47)</x:f>
        <x:v>137462816128</x:v>
      </x:c>
      <x:c r="D3" s="63" t="n">
        <x:f>SUM(K12:L47)</x:f>
        <x:v>227969874624</x:v>
      </x:c>
      <x:c r="E3" s="63" t="n">
        <x:f>SUM(M12:M47)</x:f>
        <x:v>101051793408</x:v>
      </x:c>
      <x:c r="F3" s="64" t="n">
        <x:f>IF(SUM(K12:L47)=0,"",SUM(G12:G47)/SUM(K12:L47))</x:f>
        <x:v>0.6614457286898262</x:v>
      </x:c>
      <x:c r="G3" s="64" t="n">
        <x:f>SUM(O12:O47)</x:f>
        <x:v>0.03268090590377114</x:v>
      </x:c>
      <x:c r="H3" s="64" t="n">
        <x:f>SUM(P12:P47)</x:f>
        <x:v>30.806739814054048</x:v>
      </x:c>
      <x:c r="I3" s="64" t="n">
        <x:f>MAX(SUM(O12:O47),SUM(P12:P47))</x:f>
        <x:v>30.806739814054048</x:v>
      </x:c>
      <x:c r="J3" s="64" t="n">
        <x:f>SUM(Q12:Q47)</x:f>
        <x:v>30.8139047845359</x:v>
      </x:c>
      <x:c r="K3" s="62" t="str">
        <x:f>IF(SUM(O12:O47)&gt;SUM(P12:P47),"compute",IF(SUM(P12:P47)&gt;SUM(O12:O47),"memory","balanced"))</x:f>
        <x:v>memory</x:v>
      </x:c>
      <x:c r="L3" s="62" t="str">
        <x:f>IF(SUM(M12:M47)&lt;='02_HW'!$C$8,"FIT","EXCEEDS")</x:f>
        <x:v>EXCEEDS</x:v>
      </x:c>
      <x:c r="M3" s="64" t="n">
        <x:f>'02_HW'!$C$6/'02_HW'!$C$7</x:f>
        <x:v>623.5135135135135</x:v>
      </x:c>
      <x:c r="N3" s="62" t="str">
        <x:f>IF(F3&gt;=M3,"compute-side","memory-side")</x:f>
        <x:v>memory-side</x:v>
      </x:c>
      <x:c r="O3" s="72"/>
      <x:c r="P3" s="72"/>
      <x:c r="Q3" s="72"/>
      <x:c r="R3" s="72"/>
      <x:c r="S3" s="72"/>
    </x:row>
    <x:row r="5">
      <x:c r="A5" s="39" t="str">
        <x:v>Per-token metric</x:v>
      </x:c>
      <x:c r="B5" s="40" t="str">
        <x:v>Stagewise ms</x:v>
      </x:c>
      <x:c r="C5" s="40" t="str">
        <x:v>Effective HBM B</x:v>
      </x:c>
      <x:c r="D5" s="40" t="str">
        <x:v>Persistent state B</x:v>
      </x:c>
      <x:c r="E5" s="41" t="str">
        <x:v>HBM fit</x:v>
      </x:c>
    </x:row>
    <x:row r="6">
      <x:c r="A6" s="20" t="str">
        <x:v>Forward-only ITL</x:v>
      </x:c>
      <x:c r="B6" s="65" t="n">
        <x:f>'21_HOPE_Decode'!$E$53</x:f>
        <x:v>0.6194056302702703</x:v>
      </x:c>
      <x:c r="C6" s="73" t="n">
        <x:f>('21_HOPE_Decode'!$C$53)+('21_HOPE_Decode'!$D$53)</x:f>
        <x:v>4583601664</x:v>
      </x:c>
      <x:c r="D6" s="73" t="n">
        <x:f>SUM(M12:M47)</x:f>
        <x:v>101051793408</x:v>
      </x:c>
      <x:c r="E6" s="20" t="str">
        <x:f>IF(SUM(M12:M47)&lt;='02_HW'!$C$8,"FIT","EXCEEDS")</x:f>
        <x:v>EXCEEDS</x:v>
      </x:c>
    </x:row>
    <x:row r="7">
      <x:c r="A7" s="21" t="str">
        <x:v>Online-overhead ITL</x:v>
      </x:c>
      <x:c r="B7" s="66" t="n">
        <x:f>('21_HOPE_Decode'!$E$54)+('21_HOPE_Decode'!$E$55)</x:f>
        <x:v>30.194499154265625</x:v>
      </x:c>
      <x:c r="C7" s="74" t="n">
        <x:f>('21_HOPE_Decode'!$C$54)+('21_HOPE_Decode'!$D$54)+('21_HOPE_Decode'!$C$55)+('21_HOPE_Decode'!$D$55)</x:f>
        <x:v>223386272960</x:v>
      </x:c>
      <x:c r="D7" s="74" t="n">
        <x:f>SUM(M12:M47)</x:f>
        <x:v>101051793408</x:v>
      </x:c>
      <x:c r="E7" s="21" t="str">
        <x:f>IF(SUM(M12:M47)&lt;='02_HW'!$C$8,"FIT","EXCEEDS")</x:f>
        <x:v>EXCEEDS</x:v>
      </x:c>
    </x:row>
    <x:row r="8">
      <x:c r="A8" s="22" t="str">
        <x:v>Including-online ITL</x:v>
      </x:c>
      <x:c r="B8" s="67" t="n">
        <x:f>B6+B7</x:f>
        <x:v>30.813904784535897</x:v>
      </x:c>
      <x:c r="C8" s="75" t="n">
        <x:f>C6+C7</x:f>
        <x:v>227969874624</x:v>
      </x:c>
      <x:c r="D8" s="75" t="n">
        <x:f>SUM(M12:M47)</x:f>
        <x:v>101051793408</x:v>
      </x:c>
      <x:c r="E8" s="22" t="str">
        <x:f>IF(SUM(M12:M47)&lt;='02_HW'!$C$8,"FIT","EXCEEDS")</x:f>
        <x:v>EXCEEDS</x:v>
      </x:c>
    </x:row>
    <x:row r="11" ht="34" customHeight="1">
      <x:c r="A11" s="14" t="str">
        <x:v>Order</x:v>
      </x:c>
      <x:c r="B11" s="28" t="str">
        <x:v>Phase</x:v>
      </x:c>
      <x:c r="C11" s="28" t="str">
        <x:v>Component</x:v>
      </x:c>
      <x:c r="D11" s="28" t="str">
        <x:v>Stage</x:v>
      </x:c>
      <x:c r="E11" s="28" t="str">
        <x:v>Symbolic equation</x:v>
      </x:c>
      <x:c r="F11" s="28" t="str">
        <x:v>Executions/cadence</x:v>
      </x:c>
      <x:c r="G11" s="28" t="str">
        <x:v>FLOPs</x:v>
      </x:c>
      <x:c r="H11" s="28" t="str">
        <x:v>Required read B</x:v>
      </x:c>
      <x:c r="I11" s="28" t="str">
        <x:v>Mandatory write B</x:v>
      </x:c>
      <x:c r="J11" s="28" t="str">
        <x:v>Temporary/fusible write B</x:v>
      </x:c>
      <x:c r="K11" s="28" t="str">
        <x:v>Effective read B</x:v>
      </x:c>
      <x:c r="L11" s="28" t="str">
        <x:v>Effective write B</x:v>
      </x:c>
      <x:c r="M11" s="28" t="str">
        <x:v>Persistent state B</x:v>
      </x:c>
      <x:c r="N11" s="28" t="str">
        <x:v>AI</x:v>
      </x:c>
      <x:c r="O11" s="28" t="str">
        <x:v>Compute ms</x:v>
      </x:c>
      <x:c r="P11" s="28" t="str">
        <x:v>HBM ms</x:v>
      </x:c>
      <x:c r="Q11" s="28" t="str">
        <x:v>Roofline ms</x:v>
      </x:c>
      <x:c r="R11" s="28" t="str">
        <x:v>Bound</x:v>
      </x:c>
      <x:c r="S11" s="15" t="str">
        <x:v>Evidence/assumption</x:v>
      </x:c>
    </x:row>
    <x:row r="12">
      <x:c r="A12" s="20" t="n">
        <x:f>ROW()-11</x:f>
        <x:v>1</x:v>
      </x:c>
      <x:c r="B12" s="20" t="str">
        <x:v>decode</x:v>
      </x:c>
      <x:c r="C12" s="20" t="str">
        <x:v>titans_forward</x:v>
      </x:c>
      <x:c r="D12" s="20" t="str">
        <x:v>static_q_projection</x:v>
      </x:c>
      <x:c r="E12" s="23" t="str">
        <x:v>2ND²</x:v>
      </x:c>
      <x:c r="F12" s="65" t="n">
        <x:f>1</x:f>
        <x:v>1</x:v>
      </x:c>
      <x:c r="G12" s="68" t="n">
        <x:f>(2*((('01_Inputs'!$C$5)*('01_Inputs'!$C$10)))*('01_Inputs'!$C$12)*('01_Inputs'!$C$12))</x:f>
        <x:v>4294967296</x:v>
      </x:c>
      <x:c r="H12" s="68" t="n">
        <x:f>(((((('01_Inputs'!$C$5)*('01_Inputs'!$C$10)))*('01_Inputs'!$C$12)*('01_Inputs'!$C$16)))+('01_Inputs'!$C$12)*('01_Inputs'!$C$12)*('01_Inputs'!$C$17))</x:f>
        <x:v>67371008</x:v>
      </x:c>
      <x:c r="I12" s="68" t="n">
        <x:f>0</x:f>
        <x:v>0</x:v>
      </x:c>
      <x:c r="J12" s="68" t="n">
        <x:f>(((('01_Inputs'!$C$5)*('01_Inputs'!$C$10)))*('01_Inputs'!$C$12)*('01_Inputs'!$C$16))</x:f>
        <x:v>262144</x:v>
      </x:c>
      <x:c r="K12" s="68" t="n">
        <x:f>(1)*((((((('01_Inputs'!$C$5)*('01_Inputs'!$C$10)))*('01_Inputs'!$C$12)*('01_Inputs'!$C$16)))+('01_Inputs'!$C$12)*('01_Inputs'!$C$12)*('01_Inputs'!$C$17)))</x:f>
        <x:v>67371008</x:v>
      </x:c>
      <x:c r="L12" s="68" t="n">
        <x:f>(1)*((0)+((((('01_Inputs'!$C$5)*('01_Inputs'!$C$10)))*('01_Inputs'!$C$12)*('01_Inputs'!$C$16))))</x:f>
        <x:v>262144</x:v>
      </x:c>
      <x:c r="M12" s="68" t="n">
        <x:f>(('01_Inputs'!$C$5)*('01_Inputs'!$C$41))</x:f>
        <x:v>0</x:v>
      </x:c>
      <x:c r="N12" s="65" t="n">
        <x:f>IF(((1)*(((((((('01_Inputs'!$C$5)*('01_Inputs'!$C$10)))*('01_Inputs'!$C$12)*('01_Inputs'!$C$16)))+('01_Inputs'!$C$12)*('01_Inputs'!$C$12)*('01_Inputs'!$C$17)))+(0)+((((('01_Inputs'!$C$5)*('01_Inputs'!$C$10)))*('01_Inputs'!$C$12)*('01_Inputs'!$C$16)))))=0,"",((1)*((2*((('01_Inputs'!$C$5)*('01_Inputs'!$C$10)))*('01_Inputs'!$C$12)*('01_Inputs'!$C$12))))/(((1)*(((((((('01_Inputs'!$C$5)*('01_Inputs'!$C$10)))*('01_Inputs'!$C$12)*('01_Inputs'!$C$16)))+('01_Inputs'!$C$12)*('01_Inputs'!$C$12)*('01_Inputs'!$C$17)))+(0)+((((('01_Inputs'!$C$5)*('01_Inputs'!$C$10)))*('01_Inputs'!$C$12)*('01_Inputs'!$C$16)))))))</x:f>
        <x:v>63.50387596899225</x:v>
      </x:c>
      <x:c r="O12" s="65" t="n">
        <x:f>((1)*((2*((('01_Inputs'!$C$5)*('01_Inputs'!$C$10)))*('01_Inputs'!$C$12)*('01_Inputs'!$C$12)))/(('01_Inputs'!$C$33)*('02_HW'!$C$6))*('02_HW'!$C$10))</x:f>
        <x:v>0.000930855504117902</x:v>
      </x:c>
      <x:c r="P12" s="65" t="n">
        <x:f>((1)*(((((((('01_Inputs'!$C$5)*('01_Inputs'!$C$10)))*('01_Inputs'!$C$12)*('01_Inputs'!$C$16)))+('01_Inputs'!$C$12)*('01_Inputs'!$C$12)*('01_Inputs'!$C$17)))+(0)+((((('01_Inputs'!$C$5)*('01_Inputs'!$C$10)))*('01_Inputs'!$C$12)*('01_Inputs'!$C$16))))/(('01_Inputs'!$C$34)*('02_HW'!$C$7))*('02_HW'!$C$10))</x:f>
        <x:v>0.009139615135135136</x:v>
      </x:c>
      <x:c r="Q12" s="65" t="n">
        <x:f>(MAX(((1)*((2*((('01_Inputs'!$C$5)*('01_Inputs'!$C$10)))*('01_Inputs'!$C$12)*('01_Inputs'!$C$12)))/(('01_Inputs'!$C$33)*('02_HW'!$C$6))*('02_HW'!$C$10)),((1)*(((((((('01_Inputs'!$C$5)*('01_Inputs'!$C$10)))*('01_Inputs'!$C$12)*('01_Inputs'!$C$16)))+('01_Inputs'!$C$12)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R12" s="20" t="str">
        <x:f>IF(O12&gt;P12,"compute",IF(P12&gt;O12,"memory","balanced"))</x:f>
        <x:v>memory</x:v>
      </x:c>
      <x:c r="S12" s="23" t="str">
        <x:v>Shipped path: static q=xWq; Wq is not mutable state.</x:v>
      </x:c>
    </x:row>
    <x:row r="13">
      <x:c r="A13" s="21" t="n">
        <x:f>ROW()-11</x:f>
        <x:v>2</x:v>
      </x:c>
      <x:c r="B13" s="21" t="str">
        <x:v>decode</x:v>
      </x:c>
      <x:c r="C13" s="21" t="str">
        <x:v>titans_forward</x:v>
      </x:c>
      <x:c r="D13" s="21" t="str">
        <x:v>M_mem_forward</x:v>
      </x:c>
      <x:c r="E13" s="24" t="str">
        <x:v>2NP + nonlinear terms</x:v>
      </x:c>
      <x:c r="F13" s="66" t="n">
        <x:f>1</x:f>
        <x:v>1</x:v>
      </x:c>
      <x:c r="G13" s="69" t="n">
        <x:f>(2*((('01_Inputs'!$C$5)*('01_Inputs'!$C$10)))*((('01_Inputs'!$B$52)*('01_Inputs'!$C$52)+('01_Inputs'!$C$52)*('01_Inputs'!$D$52)))+((('01_Inputs'!$C$5)*('01_Inputs'!$C$10)))*(('01_Inputs'!$C$39)*('01_Inputs'!$C$52)+('01_Inputs'!$C$40)*('01_Inputs'!$D$52)))</x:f>
        <x:v>8591245312</x:v>
      </x:c>
      <x:c r="H13" s="69" t="n">
        <x:f>(((((('01_Inputs'!$C$5)*('01_Inputs'!$C$10)))*('01_Inputs'!$B$52)*('01_Inputs'!$C$16)))+('01_Inputs'!$C$5)*((('01_Inputs'!$B$52)*('01_Inputs'!$C$52)+('01_Inputs'!$C$52)*('01_Inputs'!$D$52)))*('01_Inputs'!$C$37)*('01_Inputs'!$H$52))</x:f>
        <x:v>4295229440</x:v>
      </x:c>
      <x:c r="I13" s="69" t="n">
        <x:f>0</x:f>
        <x:v>0</x:v>
      </x:c>
      <x:c r="J13" s="69" t="n">
        <x:f>(((('01_Inputs'!$C$5)*('01_Inputs'!$C$10)))*('01_Inputs'!$D$52)*('01_Inputs'!$C$16))</x:f>
        <x:v>262144</x:v>
      </x:c>
      <x:c r="K13" s="69" t="n">
        <x:f>(1)*((((((('01_Inputs'!$C$5)*('01_Inputs'!$C$10)))*('01_Inputs'!$B$52)*('01_Inputs'!$C$16)))+('01_Inputs'!$C$5)*((('01_Inputs'!$B$52)*('01_Inputs'!$C$52)+('01_Inputs'!$C$52)*('01_Inputs'!$D$52)))*('01_Inputs'!$C$37)*('01_Inputs'!$H$52)))</x:f>
        <x:v>4295229440</x:v>
      </x:c>
      <x:c r="L13" s="69" t="n">
        <x:f>(1)*((0)+((((('01_Inputs'!$C$5)*('01_Inputs'!$C$10)))*('01_Inputs'!$D$52)*('01_Inputs'!$C$16))))</x:f>
        <x:v>262144</x:v>
      </x:c>
      <x:c r="M13" s="69" t="n">
        <x:f>(('01_Inputs'!$C$5)*((('01_Inputs'!$B$52)*('01_Inputs'!$C$52)+('01_Inputs'!$C$52)*('01_Inputs'!$D$52)))*(('01_Inputs'!$C$37)+('01_Inputs'!$F$52)*('01_Inputs'!$C$38)))</x:f>
        <x:v>21474836480</x:v>
      </x:c>
      <x:c r="N13" s="66" t="n">
        <x:f>IF(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)=0,"",((1)*((2*((('01_Inputs'!$C$5)*('01_Inputs'!$C$10)))*((('01_Inputs'!$B$52)*('01_Inputs'!$C$52)+('01_Inputs'!$C$52)*('01_Inputs'!$D$52)))+((('01_Inputs'!$C$5)*('01_Inputs'!$C$10)))*(('01_Inputs'!$C$39)*('01_Inputs'!$C$52)+('01_Inputs'!$C$40)*('01_Inputs'!$D$52)))))/(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)))</x:f>
        <x:v>2.000061027706579</x:v>
      </x:c>
      <x:c r="O13" s="66" t="n">
        <x:f>((1)*((2*((('01_Inputs'!$C$5)*('01_Inputs'!$C$10)))*((('01_Inputs'!$B$52)*('01_Inputs'!$C$52)+('01_Inputs'!$C$52)*('01_Inputs'!$D$52)))+((('01_Inputs'!$C$5)*('01_Inputs'!$C$10)))*(('01_Inputs'!$C$39)*('01_Inputs'!$C$52)+('01_Inputs'!$C$40)*('01_Inputs'!$D$52))))/(('01_Inputs'!$C$33)*('02_HW'!$C$6))*('02_HW'!$C$10))</x:f>
        <x:v>0.001861995082791504</x:v>
      </x:c>
      <x:c r="P13" s="66" t="n">
        <x:f>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/(('01_Inputs'!$C$34)*('02_HW'!$C$7))*('02_HW'!$C$10))</x:f>
        <x:v>0.5804718356756756</x:v>
      </x:c>
      <x:c r="Q13" s="66" t="n">
        <x:f>(MAX(((1)*((2*((('01_Inputs'!$C$5)*('01_Inputs'!$C$10)))*((('01_Inputs'!$B$52)*('01_Inputs'!$C$52)+('01_Inputs'!$C$52)*('01_Inputs'!$D$52)))+((('01_Inputs'!$C$5)*('01_Inputs'!$C$10)))*(('01_Inputs'!$C$39)*('01_Inputs'!$C$52)+('01_Inputs'!$C$40)*('01_Inputs'!$D$52))))/(('01_Inputs'!$C$33)*('02_HW'!$C$6))*('02_HW'!$C$10)),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/(('01_Inputs'!$C$34)*('02_HW'!$C$7))*('02_HW'!$C$10)))+(1)*('02_HW'!$C$9)*('02_HW'!$C$10))</x:f>
        <x:v>0.5804718356756756</x:v>
      </x:c>
      <x:c r="R13" s="21" t="str">
        <x:f>IF(O13&gt;P13,"compute",IF(P13&gt;O13,"memory","balanced"))</x:f>
        <x:v>memory</x:v>
      </x:c>
      <x:c r="S13" s="24" t="str">
        <x:v>Actual shipped main-memory forward after static Wq.</x:v>
      </x:c>
    </x:row>
    <x:row r="14">
      <x:c r="A14" s="21" t="n">
        <x:f>ROW()-11</x:f>
        <x:v>3</x:v>
      </x:c>
      <x:c r="B14" s="21" t="str">
        <x:v>decode</x:v>
      </x:c>
      <x:c r="C14" s="21" t="str">
        <x:v>cms_forward</x:v>
      </x:c>
      <x:c r="D14" s="21" t="str">
        <x:v>cms_l1_router</x:v>
      </x:c>
      <x:c r="E14" s="24" t="str">
        <x:v>2ND·C + crouterN·C</x:v>
      </x:c>
      <x:c r="F14" s="66" t="n">
        <x:f>1</x:f>
        <x:v>1</x:v>
      </x:c>
      <x:c r="G14" s="69" t="n">
        <x:f>(2*((('01_Inputs'!$C$5)*('01_Inputs'!$C$10)))*('01_Inputs'!$B$57)*('01_Inputs'!$D$57)+('01_Inputs'!$G$57)*((('01_Inputs'!$C$5)*('01_Inputs'!$C$10)))*('01_Inputs'!$D$57))</x:f>
        <x:v>33556480</x:v>
      </x:c>
      <x:c r="H14" s="69" t="n">
        <x:f>(((('01_Inputs'!$C$5)*('01_Inputs'!$C$10)))*('01_Inputs'!$B$57)*('01_Inputs'!$C$16)+((IF(('01_Inputs'!$K$57)=1,('01_Inputs'!$C$5),1)))*((('01_Inputs'!$B$57)*('01_Inputs'!$D$57)))*('01_Inputs'!$C$37))</x:f>
        <x:v>17039360</x:v>
      </x:c>
      <x:c r="I14" s="69" t="n">
        <x:f>0</x:f>
        <x:v>0</x:v>
      </x:c>
      <x:c r="J14" s="69" t="n">
        <x:f>(((('01_Inputs'!$C$5)*('01_Inputs'!$C$10)))*('01_Inputs'!$F$57)*('01_Inputs'!$M$57))</x:f>
        <x:v>256</x:v>
      </x:c>
      <x:c r="K14" s="69" t="n">
        <x:f>(1)*((((('01_Inputs'!$C$5)*('01_Inputs'!$C$10)))*('01_Inputs'!$B$57)*('01_Inputs'!$C$16)+((IF(('01_Inputs'!$K$57)=1,('01_Inputs'!$C$5),1)))*((('01_Inputs'!$B$57)*('01_Inputs'!$D$57)))*('01_Inputs'!$C$37)))</x:f>
        <x:v>17039360</x:v>
      </x:c>
      <x:c r="L14" s="69" t="n">
        <x:f>(1)*((0)+((((('01_Inputs'!$C$5)*('01_Inputs'!$C$10)))*('01_Inputs'!$F$57)*('01_Inputs'!$M$57))))</x:f>
        <x:v>256</x:v>
      </x:c>
      <x:c r="M14" s="69" t="n">
        <x:f>(((IF(('01_Inputs'!$K$57)=1,('01_Inputs'!$C$5),1)))*((((('01_Inputs'!$B$57)*('01_Inputs'!$D$57)))+('01_Inputs'!$D$57)*(((('01_Inputs'!$B$57)*('01_Inputs'!$E$57)))+((('01_Inputs'!$E$57)*('01_Inputs'!$C$57))))))*(('01_Inputs'!$C$37)+('01_Inputs'!$J$57)*('01_Inputs'!$C$38)))</x:f>
        <x:v>2164260864</x:v>
      </x:c>
      <x:c r="N14" s="66" t="n">
        <x:f>IF(((1)*(((((('01_Inputs'!$C$5)*('01_Inputs'!$C$10)))*('01_Inputs'!$B$57)*('01_Inputs'!$C$16)+((IF(('01_Inputs'!$K$57)=1,('01_Inputs'!$C$5),1)))*((('01_Inputs'!$B$57)*('01_Inputs'!$D$57)))*('01_Inputs'!$C$37)))+(0)+((((('01_Inputs'!$C$5)*('01_Inputs'!$C$10)))*('01_Inputs'!$F$57)*('01_Inputs'!$M$57)))))=0,"",((1)*((2*((('01_Inputs'!$C$5)*('01_Inputs'!$C$10)))*('01_Inputs'!$B$57)*('01_Inputs'!$D$57)+('01_Inputs'!$G$57)*((('01_Inputs'!$C$5)*('01_Inputs'!$C$10)))*('01_Inputs'!$D$57))))/(((1)*(((((('01_Inputs'!$C$5)*('01_Inputs'!$C$10)))*('01_Inputs'!$B$57)*('01_Inputs'!$C$16)+((IF(('01_Inputs'!$K$57)=1,('01_Inputs'!$C$5),1)))*((('01_Inputs'!$B$57)*('01_Inputs'!$D$57)))*('01_Inputs'!$C$37)))+(0)+((((('01_Inputs'!$C$5)*('01_Inputs'!$C$10)))*('01_Inputs'!$F$57)*('01_Inputs'!$M$57)))))))</x:f>
        <x:v>1.9693213743783897</x:v>
      </x:c>
      <x:c r="O14" s="66" t="n">
        <x:f>((1)*((2*((('01_Inputs'!$C$5)*('01_Inputs'!$C$10)))*('01_Inputs'!$B$57)*('01_Inputs'!$D$57)+('01_Inputs'!$G$57)*((('01_Inputs'!$C$5)*('01_Inputs'!$C$10)))*('01_Inputs'!$D$57)))/(('01_Inputs'!$C$33)*('02_HW'!$C$6))*('02_HW'!$C$10))</x:f>
        <x:v>0.0000072727524924143915</x:v>
      </x:c>
      <x:c r="P14" s="66" t="n">
        <x:f>((1)*(((((('01_Inputs'!$C$5)*('01_Inputs'!$C$10)))*('01_Inputs'!$B$57)*('01_Inputs'!$C$16)+((IF(('01_Inputs'!$K$57)=1,('01_Inputs'!$C$5),1)))*((('01_Inputs'!$B$57)*('01_Inputs'!$D$57)))*('01_Inputs'!$C$37)))+(0)+((((('01_Inputs'!$C$5)*('01_Inputs'!$C$10)))*('01_Inputs'!$F$57)*('01_Inputs'!$M$57))))/(('01_Inputs'!$C$34)*('02_HW'!$C$7))*('02_HW'!$C$10))</x:f>
        <x:v>0.002302650810810811</x:v>
      </x:c>
      <x:c r="Q14" s="66" t="n">
        <x:f>(MAX(((1)*((2*((('01_Inputs'!$C$5)*('01_Inputs'!$C$10)))*('01_Inputs'!$B$57)*('01_Inputs'!$D$57)+('01_Inputs'!$G$57)*((('01_Inputs'!$C$5)*('01_Inputs'!$C$10)))*('01_Inputs'!$D$57)))/(('01_Inputs'!$C$33)*('02_HW'!$C$6))*('02_HW'!$C$10)),((1)*(((((('01_Inputs'!$C$5)*('01_Inputs'!$C$10)))*('01_Inputs'!$B$57)*('01_Inputs'!$C$16)+((IF(('01_Inputs'!$K$57)=1,('01_Inputs'!$C$5),1)))*((('01_Inputs'!$B$57)*('01_Inputs'!$D$57)))*('01_Inputs'!$C$37)))+(0)+((((('01_Inputs'!$C$5)*('01_Inputs'!$C$10)))*('01_Inputs'!$F$57)*('01_Inputs'!$M$57))))/(('01_Inputs'!$C$34)*('02_HW'!$C$7))*('02_HW'!$C$10)))+(1)*('02_HW'!$C$9)*('02_HW'!$C$10))</x:f>
        <x:v>0.002302650810810811</x:v>
      </x:c>
      <x:c r="R14" s="21" t="str">
        <x:f>IF(O14&gt;P14,"compute",IF(P14&gt;O14,"memory","balanced"))</x:f>
        <x:v>memory</x:v>
      </x:c>
      <x:c r="S14" s="24" t="str">
        <x:v>Router compute is dense in capacity; capacity remains a residency dimension.</x:v>
      </x:c>
    </x:row>
    <x:row r="15">
      <x:c r="A15" s="21" t="n">
        <x:f>ROW()-11</x:f>
        <x:v>4</x:v>
      </x:c>
      <x:c r="B15" s="21" t="str">
        <x:v>decode</x:v>
      </x:c>
      <x:c r="C15" s="21" t="str">
        <x:v>cms_forward</x:v>
      </x:c>
      <x:c r="D15" s="21" t="str">
        <x:v>cms_l1_expert_a</x:v>
      </x:c>
      <x:c r="E15" s="24" t="str">
        <x:v>2N·topk·D·R</x:v>
      </x:c>
      <x:c r="F15" s="66" t="n">
        <x:f>1</x:f>
        <x:v>1</x:v>
      </x:c>
      <x:c r="G15" s="69" t="n">
        <x:f>(2*((('01_Inputs'!$C$5)*('01_Inputs'!$C$10)))*('01_Inputs'!$F$57)*('01_Inputs'!$B$57)*('01_Inputs'!$E$57))</x:f>
        <x:v>33554432</x:v>
      </x:c>
      <x:c r="H15" s="69" t="n">
        <x:f>(((('01_Inputs'!$C$5)*('01_Inputs'!$C$10)))*('01_Inputs'!$B$57)*('01_Inputs'!$C$16)+((((('01_Inputs'!$C$5)*('01_Inputs'!$C$10)))*('01_Inputs'!$F$57)*('01_Inputs'!$M$57)))+((IF(('01_Inputs'!$K$57)=1,('01_Inputs'!$C$5),1)))*((MIN(('01_Inputs'!$D$57),IF(('01_Inputs'!$K$57)=1,('01_Inputs'!$C$10)*('01_Inputs'!$F$57),((('01_Inputs'!$C$5)*('01_Inputs'!$C$10)))*('01_Inputs'!$F$57)))))*((('01_Inputs'!$B$57)*('01_Inputs'!$E$57)))*('01_Inputs'!$C$37))</x:f>
        <x:v>17039616</x:v>
      </x:c>
      <x:c r="I15" s="69" t="n">
        <x:f>0</x:f>
        <x:v>0</x:v>
      </x:c>
      <x:c r="J15" s="69" t="n">
        <x:f>(((('01_Inputs'!$C$5)*('01_Inputs'!$C$10)))*('01_Inputs'!$F$57)*('01_Inputs'!$E$57)*('01_Inputs'!$C$16))</x:f>
        <x:v>2048</x:v>
      </x:c>
      <x:c r="K15" s="69" t="n">
        <x:f>(1)*((((('01_Inputs'!$C$5)*('01_Inputs'!$C$10)))*('01_Inputs'!$B$57)*('01_Inputs'!$C$16)+((((('01_Inputs'!$C$5)*('01_Inputs'!$C$10)))*('01_Inputs'!$F$57)*('01_Inputs'!$M$57)))+((IF(('01_Inputs'!$K$57)=1,('01_Inputs'!$C$5),1)))*((MIN(('01_Inputs'!$D$57),IF(('01_Inputs'!$K$57)=1,('01_Inputs'!$C$10)*('01_Inputs'!$F$57),((('01_Inputs'!$C$5)*('01_Inputs'!$C$10)))*('01_Inputs'!$F$57)))))*((('01_Inputs'!$B$57)*('01_Inputs'!$E$57)))*('01_Inputs'!$C$37)))</x:f>
        <x:v>17039616</x:v>
      </x:c>
      <x:c r="L15" s="69" t="n">
        <x:f>(1)*((0)+((((('01_Inputs'!$C$5)*('01_Inputs'!$C$10)))*('01_Inputs'!$F$57)*('01_Inputs'!$E$57)*('01_Inputs'!$C$16))))</x:f>
        <x:v>2048</x:v>
      </x:c>
      <x:c r="M15" s="69" t="n">
        <x:f>0</x:f>
        <x:v>0</x:v>
      </x:c>
      <x:c r="N15" s="66" t="n">
        <x:f>IF(((1)*(((((('01_Inputs'!$C$5)*('01_Inputs'!$C$10)))*('01_Inputs'!$B$57)*('01_Inputs'!$C$16)+((((('01_Inputs'!$C$5)*('01_Inputs'!$C$10)))*('01_Inputs'!$F$57)*('01_Inputs'!$M$57)))+((IF(('01_Inputs'!$K$57)=1,('01_Inputs'!$C$5),1)))*((MIN(('01_Inputs'!$D$57),IF(('01_Inputs'!$K$57)=1,('01_Inputs'!$C$10)*('01_Inputs'!$F$57),((('01_Inputs'!$C$5)*('01_Inputs'!$C$10)))*('01_Inputs'!$F$57)))))*((('01_Inputs'!$B$57)*('01_Inputs'!$E$57)))*('01_Inputs'!$C$37)))+(0)+((((('01_Inputs'!$C$5)*('01_Inputs'!$C$10)))*('01_Inputs'!$F$57)*('01_Inputs'!$E$57)*('01_Inputs'!$C$16)))))=0,"",((1)*((2*((('01_Inputs'!$C$5)*('01_Inputs'!$C$10)))*('01_Inputs'!$F$57)*('01_Inputs'!$B$57)*('01_Inputs'!$E$57))))/(((1)*(((((('01_Inputs'!$C$5)*('01_Inputs'!$C$10)))*('01_Inputs'!$B$57)*('01_Inputs'!$C$16)+((((('01_Inputs'!$C$5)*('01_Inputs'!$C$10)))*('01_Inputs'!$F$57)*('01_Inputs'!$M$57)))+((IF(('01_Inputs'!$K$57)=1,('01_Inputs'!$C$5),1)))*((MIN(('01_Inputs'!$D$57),IF(('01_Inputs'!$K$57)=1,('01_Inputs'!$C$10)*('01_Inputs'!$F$57),((('01_Inputs'!$C$5)*('01_Inputs'!$C$10)))*('01_Inputs'!$F$57)))))*((('01_Inputs'!$B$57)*('01_Inputs'!$E$57)))*('01_Inputs'!$C$37)))+(0)+((((('01_Inputs'!$C$5)*('01_Inputs'!$C$10)))*('01_Inputs'!$F$57)*('01_Inputs'!$E$57)*('01_Inputs'!$C$16)))))))</x:f>
        <x:v>1.968964533040905</x:v>
      </x:c>
      <x:c r="O15" s="66" t="n">
        <x:f>((1)*((2*((('01_Inputs'!$C$5)*('01_Inputs'!$C$10)))*('01_Inputs'!$F$57)*('01_Inputs'!$B$57)*('01_Inputs'!$E$57)))/(('01_Inputs'!$C$33)*('02_HW'!$C$6))*('02_HW'!$C$10))</x:f>
        <x:v>0.0000072723086259211094</x:v>
      </x:c>
      <x:c r="P15" s="66" t="n">
        <x:f>((1)*(((((('01_Inputs'!$C$5)*('01_Inputs'!$C$10)))*('01_Inputs'!$B$57)*('01_Inputs'!$C$16)+((((('01_Inputs'!$C$5)*('01_Inputs'!$C$10)))*('01_Inputs'!$F$57)*('01_Inputs'!$M$57)))+((IF(('01_Inputs'!$K$57)=1,('01_Inputs'!$C$5),1)))*((MIN(('01_Inputs'!$D$57),IF(('01_Inputs'!$K$57)=1,('01_Inputs'!$C$10)*('01_Inputs'!$F$57),((('01_Inputs'!$C$5)*('01_Inputs'!$C$10)))*('01_Inputs'!$F$57)))))*((('01_Inputs'!$B$57)*('01_Inputs'!$E$57)))*('01_Inputs'!$C$37)))+(0)+((((('01_Inputs'!$C$5)*('01_Inputs'!$C$10)))*('01_Inputs'!$F$57)*('01_Inputs'!$E$57)*('01_Inputs'!$C$16))))/(('01_Inputs'!$C$34)*('02_HW'!$C$7))*('02_HW'!$C$10))</x:f>
        <x:v>0.0023029275675675678</x:v>
      </x:c>
      <x:c r="Q15" s="66" t="n">
        <x:f>(MAX(((1)*((2*((('01_Inputs'!$C$5)*('01_Inputs'!$C$10)))*('01_Inputs'!$F$57)*('01_Inputs'!$B$57)*('01_Inputs'!$E$57)))/(('01_Inputs'!$C$33)*('02_HW'!$C$6))*('02_HW'!$C$10)),((1)*(((((('01_Inputs'!$C$5)*('01_Inputs'!$C$10)))*('01_Inputs'!$B$57)*('01_Inputs'!$C$16)+((((('01_Inputs'!$C$5)*('01_Inputs'!$C$10)))*('01_Inputs'!$F$57)*('01_Inputs'!$M$57)))+((IF(('01_Inputs'!$K$57)=1,('01_Inputs'!$C$5),1)))*((MIN(('01_Inputs'!$D$57),IF(('01_Inputs'!$K$57)=1,('01_Inputs'!$C$10)*('01_Inputs'!$F$57),((('01_Inputs'!$C$5)*('01_Inputs'!$C$10)))*('01_Inputs'!$F$57)))))*((('01_Inputs'!$B$57)*('01_Inputs'!$E$57)))*('01_Inputs'!$C$37)))+(0)+((((('01_Inputs'!$C$5)*('01_Inputs'!$C$10)))*('01_Inputs'!$F$57)*('01_Inputs'!$E$57)*('01_Inputs'!$C$16))))/(('01_Inputs'!$C$34)*('02_HW'!$C$7))*('02_HW'!$C$10)))+(1)*('02_HW'!$C$9)*('02_HW'!$C$10))</x:f>
        <x:v>0.0023029275675675678</x:v>
      </x:c>
      <x:c r="R15" s="21" t="str">
        <x:f>IF(O15&gt;P15,"compute",IF(P15&gt;O15,"memory","balanced"))</x:f>
        <x:v>memory</x:v>
      </x:c>
      <x:c r="S15" s="24" t="str">
        <x:v>HBM reads use the per-request unique-active upper bound min(C,Q·top-k).</x:v>
      </x:c>
    </x:row>
    <x:row r="16">
      <x:c r="A16" s="21" t="n">
        <x:f>ROW()-11</x:f>
        <x:v>5</x:v>
      </x:c>
      <x:c r="B16" s="21" t="str">
        <x:v>decode</x:v>
      </x:c>
      <x:c r="C16" s="21" t="str">
        <x:v>cms_forward</x:v>
      </x:c>
      <x:c r="D16" s="21" t="str">
        <x:v>cms_l1_expert_b</x:v>
      </x:c>
      <x:c r="E16" s="24" t="str">
        <x:v>2N·topk·R·D</x:v>
      </x:c>
      <x:c r="F16" s="66" t="n">
        <x:f>1</x:f>
        <x:v>1</x:v>
      </x:c>
      <x:c r="G16" s="69" t="n">
        <x:f>(2*((('01_Inputs'!$C$5)*('01_Inputs'!$C$10)))*('01_Inputs'!$F$57)*('01_Inputs'!$E$57)*('01_Inputs'!$C$57))</x:f>
        <x:v>33554432</x:v>
      </x:c>
      <x:c r="H16" s="69" t="n">
        <x:f>(((((('01_Inputs'!$C$5)*('01_Inputs'!$C$10)))*('01_Inputs'!$F$57)*('01_Inputs'!$E$57)*('01_Inputs'!$C$16)))+((IF(('01_Inputs'!$K$57)=1,('01_Inputs'!$C$5),1)))*((MIN(('01_Inputs'!$D$57),IF(('01_Inputs'!$K$57)=1,('01_Inputs'!$C$10)*('01_Inputs'!$F$57),((('01_Inputs'!$C$5)*('01_Inputs'!$C$10)))*('01_Inputs'!$F$57)))))*((('01_Inputs'!$E$57)*('01_Inputs'!$C$57)))*('01_Inputs'!$C$37))</x:f>
        <x:v>16779264</x:v>
      </x:c>
      <x:c r="I16" s="69" t="n">
        <x:f>0</x:f>
        <x:v>0</x:v>
      </x:c>
      <x:c r="J16" s="69" t="n">
        <x:f>(((('01_Inputs'!$C$5)*('01_Inputs'!$C$10)))*('01_Inputs'!$C$57)*('01_Inputs'!$C$16))</x:f>
        <x:v>262144</x:v>
      </x:c>
      <x:c r="K16" s="69" t="n">
        <x:f>(1)*((((((('01_Inputs'!$C$5)*('01_Inputs'!$C$10)))*('01_Inputs'!$F$57)*('01_Inputs'!$E$57)*('01_Inputs'!$C$16)))+((IF(('01_Inputs'!$K$57)=1,('01_Inputs'!$C$5),1)))*((MIN(('01_Inputs'!$D$57),IF(('01_Inputs'!$K$57)=1,('01_Inputs'!$C$10)*('01_Inputs'!$F$57),((('01_Inputs'!$C$5)*('01_Inputs'!$C$10)))*('01_Inputs'!$F$57)))))*((('01_Inputs'!$E$57)*('01_Inputs'!$C$57)))*('01_Inputs'!$C$37)))</x:f>
        <x:v>16779264</x:v>
      </x:c>
      <x:c r="L16" s="69" t="n">
        <x:f>(1)*((0)+((((('01_Inputs'!$C$5)*('01_Inputs'!$C$10)))*('01_Inputs'!$C$57)*('01_Inputs'!$C$16))))</x:f>
        <x:v>262144</x:v>
      </x:c>
      <x:c r="M16" s="69" t="n">
        <x:f>0</x:f>
        <x:v>0</x:v>
      </x:c>
      <x:c r="N16" s="66" t="n">
        <x:f>IF(((1)*(((((((('01_Inputs'!$C$5)*('01_Inputs'!$C$10)))*('01_Inputs'!$F$57)*('01_Inputs'!$E$57)*('01_Inputs'!$C$16)))+((IF(('01_Inputs'!$K$57)=1,('01_Inputs'!$C$5),1)))*((MIN(('01_Inputs'!$D$57),IF(('01_Inputs'!$K$57)=1,('01_Inputs'!$C$10)*('01_Inputs'!$F$57),((('01_Inputs'!$C$5)*('01_Inputs'!$C$10)))*('01_Inputs'!$F$57)))))*((('01_Inputs'!$E$57)*('01_Inputs'!$C$57)))*('01_Inputs'!$C$37)))+(0)+((((('01_Inputs'!$C$5)*('01_Inputs'!$C$10)))*('01_Inputs'!$C$57)*('01_Inputs'!$C$16)))))=0,"",((1)*((2*((('01_Inputs'!$C$5)*('01_Inputs'!$C$10)))*('01_Inputs'!$F$57)*('01_Inputs'!$E$57)*('01_Inputs'!$C$57))))/(((1)*(((((((('01_Inputs'!$C$5)*('01_Inputs'!$C$10)))*('01_Inputs'!$F$57)*('01_Inputs'!$E$57)*('01_Inputs'!$C$16)))+((IF(('01_Inputs'!$K$57)=1,('01_Inputs'!$C$5),1)))*((MIN(('01_Inputs'!$D$57),IF(('01_Inputs'!$K$57)=1,('01_Inputs'!$C$10)*('01_Inputs'!$F$57),((('01_Inputs'!$C$5)*('01_Inputs'!$C$10)))*('01_Inputs'!$F$57)))))*((('01_Inputs'!$E$57)*('01_Inputs'!$C$57)))*('01_Inputs'!$C$37)))+(0)+((((('01_Inputs'!$C$5)*('01_Inputs'!$C$10)))*('01_Inputs'!$C$57)*('01_Inputs'!$C$16)))))))</x:f>
        <x:v>1.9689941112847014</x:v>
      </x:c>
      <x:c r="O16" s="66" t="n">
        <x:f>((1)*((2*((('01_Inputs'!$C$5)*('01_Inputs'!$C$10)))*('01_Inputs'!$F$57)*('01_Inputs'!$E$57)*('01_Inputs'!$C$57)))/(('01_Inputs'!$C$33)*('02_HW'!$C$6))*('02_HW'!$C$10))</x:f>
        <x:v>0.0000072723086259211094</x:v>
      </x:c>
      <x:c r="P16" s="66" t="n">
        <x:f>((1)*(((((((('01_Inputs'!$C$5)*('01_Inputs'!$C$10)))*('01_Inputs'!$F$57)*('01_Inputs'!$E$57)*('01_Inputs'!$C$16)))+((IF(('01_Inputs'!$K$57)=1,('01_Inputs'!$C$5),1)))*((MIN(('01_Inputs'!$D$57),IF(('01_Inputs'!$K$57)=1,('01_Inputs'!$C$10)*('01_Inputs'!$F$57),((('01_Inputs'!$C$5)*('01_Inputs'!$C$10)))*('01_Inputs'!$F$57)))))*((('01_Inputs'!$E$57)*('01_Inputs'!$C$57)))*('01_Inputs'!$C$37)))+(0)+((((('01_Inputs'!$C$5)*('01_Inputs'!$C$10)))*('01_Inputs'!$C$57)*('01_Inputs'!$C$16))))/(('01_Inputs'!$C$34)*('02_HW'!$C$7))*('02_HW'!$C$10))</x:f>
        <x:v>0.002302892972972973</x:v>
      </x:c>
      <x:c r="Q16" s="66" t="n">
        <x:f>(MAX(((1)*((2*((('01_Inputs'!$C$5)*('01_Inputs'!$C$10)))*('01_Inputs'!$F$57)*('01_Inputs'!$E$57)*('01_Inputs'!$C$57)))/(('01_Inputs'!$C$33)*('02_HW'!$C$6))*('02_HW'!$C$10)),((1)*(((((((('01_Inputs'!$C$5)*('01_Inputs'!$C$10)))*('01_Inputs'!$F$57)*('01_Inputs'!$E$57)*('01_Inputs'!$C$16)))+((IF(('01_Inputs'!$K$57)=1,('01_Inputs'!$C$5),1)))*((MIN(('01_Inputs'!$D$57),IF(('01_Inputs'!$K$57)=1,('01_Inputs'!$C$10)*('01_Inputs'!$F$57),((('01_Inputs'!$C$5)*('01_Inputs'!$C$10)))*('01_Inputs'!$F$57)))))*((('01_Inputs'!$E$57)*('01_Inputs'!$C$57)))*('01_Inputs'!$C$37)))+(0)+((((('01_Inputs'!$C$5)*('01_Inputs'!$C$10)))*('01_Inputs'!$C$57)*('01_Inputs'!$C$16))))/(('01_Inputs'!$C$34)*('02_HW'!$C$7))*('02_HW'!$C$10)))+(1)*('02_HW'!$C$9)*('02_HW'!$C$10))</x:f>
        <x:v>0.002302892972972973</x:v>
      </x:c>
      <x:c r="R16" s="21" t="str">
        <x:f>IF(O16&gt;P16,"compute",IF(P16&gt;O16,"memory","balanced"))</x:f>
        <x:v>memory</x:v>
      </x:c>
      <x:c r="S16" s="24" t="str">
        <x:v>Only top-k active B matrices are read; no capacity×LRD dense hidden flatten.</x:v>
      </x:c>
    </x:row>
    <x:row r="17">
      <x:c r="A17" s="21" t="n">
        <x:f>ROW()-11</x:f>
        <x:v>6</x:v>
      </x:c>
      <x:c r="B17" s="21" t="str">
        <x:v>decode</x:v>
      </x:c>
      <x:c r="C17" s="21" t="str">
        <x:v>cms_forward</x:v>
      </x:c>
      <x:c r="D17" s="21" t="str">
        <x:v>cms_l2_router</x:v>
      </x:c>
      <x:c r="E17" s="24" t="str">
        <x:v>2ND·C + crouterN·C</x:v>
      </x:c>
      <x:c r="F17" s="66" t="n">
        <x:f>1</x:f>
        <x:v>1</x:v>
      </x:c>
      <x:c r="G17" s="69" t="n">
        <x:f>(2*((('01_Inputs'!$C$5)*('01_Inputs'!$C$10)))*('01_Inputs'!$B$58)*('01_Inputs'!$D$58)+('01_Inputs'!$G$58)*((('01_Inputs'!$C$5)*('01_Inputs'!$C$10)))*('01_Inputs'!$D$58))</x:f>
        <x:v>67112960</x:v>
      </x:c>
      <x:c r="H17" s="69" t="n">
        <x:f>(((('01_Inputs'!$C$5)*('01_Inputs'!$C$10)))*('01_Inputs'!$B$58)*('01_Inputs'!$C$16)+((IF(('01_Inputs'!$K$58)=1,('01_Inputs'!$C$5),1)))*((('01_Inputs'!$B$58)*('01_Inputs'!$D$58)))*('01_Inputs'!$C$37))</x:f>
        <x:v>33816576</x:v>
      </x:c>
      <x:c r="I17" s="69" t="n">
        <x:f>0</x:f>
        <x:v>0</x:v>
      </x:c>
      <x:c r="J17" s="69" t="n">
        <x:f>(((('01_Inputs'!$C$5)*('01_Inputs'!$C$10)))*('01_Inputs'!$F$58)*('01_Inputs'!$M$58))</x:f>
        <x:v>256</x:v>
      </x:c>
      <x:c r="K17" s="69" t="n">
        <x:f>(1)*((((('01_Inputs'!$C$5)*('01_Inputs'!$C$10)))*('01_Inputs'!$B$58)*('01_Inputs'!$C$16)+((IF(('01_Inputs'!$K$58)=1,('01_Inputs'!$C$5),1)))*((('01_Inputs'!$B$58)*('01_Inputs'!$D$58)))*('01_Inputs'!$C$37)))</x:f>
        <x:v>33816576</x:v>
      </x:c>
      <x:c r="L17" s="69" t="n">
        <x:f>(1)*((0)+((((('01_Inputs'!$C$5)*('01_Inputs'!$C$10)))*('01_Inputs'!$F$58)*('01_Inputs'!$M$58))))</x:f>
        <x:v>256</x:v>
      </x:c>
      <x:c r="M17" s="69" t="n">
        <x:f>(((IF(('01_Inputs'!$K$58)=1,('01_Inputs'!$C$5),1)))*((((('01_Inputs'!$B$58)*('01_Inputs'!$D$58)))+('01_Inputs'!$D$58)*(((('01_Inputs'!$B$58)*('01_Inputs'!$E$58)))+((('01_Inputs'!$E$58)*('01_Inputs'!$C$58))))))*(('01_Inputs'!$C$37)+('01_Inputs'!$J$58)*('01_Inputs'!$C$38)))</x:f>
        <x:v>4328521728</x:v>
      </x:c>
      <x:c r="N17" s="66" t="n">
        <x:f>IF(((1)*(((((('01_Inputs'!$C$5)*('01_Inputs'!$C$10)))*('01_Inputs'!$B$58)*('01_Inputs'!$C$16)+((IF(('01_Inputs'!$K$58)=1,('01_Inputs'!$C$5),1)))*((('01_Inputs'!$B$58)*('01_Inputs'!$D$58)))*('01_Inputs'!$C$37)))+(0)+((((('01_Inputs'!$C$5)*('01_Inputs'!$C$10)))*('01_Inputs'!$F$58)*('01_Inputs'!$M$58)))))=0,"",((1)*((2*((('01_Inputs'!$C$5)*('01_Inputs'!$C$10)))*('01_Inputs'!$B$58)*('01_Inputs'!$D$58)+('01_Inputs'!$G$58)*((('01_Inputs'!$C$5)*('01_Inputs'!$C$10)))*('01_Inputs'!$D$58))))/(((1)*(((((('01_Inputs'!$C$5)*('01_Inputs'!$C$10)))*('01_Inputs'!$B$58)*('01_Inputs'!$C$16)+((IF(('01_Inputs'!$K$58)=1,('01_Inputs'!$C$5),1)))*((('01_Inputs'!$B$58)*('01_Inputs'!$D$58)))*('01_Inputs'!$C$37)))+(0)+((((('01_Inputs'!$C$5)*('01_Inputs'!$C$10)))*('01_Inputs'!$F$58)*('01_Inputs'!$M$58)))))))</x:f>
        <x:v>1.9846022241231822</x:v>
      </x:c>
      <x:c r="O17" s="66" t="n">
        <x:f>((1)*((2*((('01_Inputs'!$C$5)*('01_Inputs'!$C$10)))*('01_Inputs'!$B$58)*('01_Inputs'!$D$58)+('01_Inputs'!$G$58)*((('01_Inputs'!$C$5)*('01_Inputs'!$C$10)))*('01_Inputs'!$D$58)))/(('01_Inputs'!$C$33)*('02_HW'!$C$6))*('02_HW'!$C$10))</x:f>
        <x:v>0.000014545504984828783</x:v>
      </x:c>
      <x:c r="P17" s="66" t="n">
        <x:f>((1)*(((((('01_Inputs'!$C$5)*('01_Inputs'!$C$10)))*('01_Inputs'!$B$58)*('01_Inputs'!$C$16)+((IF(('01_Inputs'!$K$58)=1,('01_Inputs'!$C$5),1)))*((('01_Inputs'!$B$58)*('01_Inputs'!$D$58)))*('01_Inputs'!$C$37)))+(0)+((((('01_Inputs'!$C$5)*('01_Inputs'!$C$10)))*('01_Inputs'!$F$58)*('01_Inputs'!$M$58))))/(('01_Inputs'!$C$34)*('02_HW'!$C$7))*('02_HW'!$C$10))</x:f>
        <x:v>0.004569842162162162</x:v>
      </x:c>
      <x:c r="Q17" s="66" t="n">
        <x:f>(MAX(((1)*((2*((('01_Inputs'!$C$5)*('01_Inputs'!$C$10)))*('01_Inputs'!$B$58)*('01_Inputs'!$D$58)+('01_Inputs'!$G$58)*((('01_Inputs'!$C$5)*('01_Inputs'!$C$10)))*('01_Inputs'!$D$58)))/(('01_Inputs'!$C$33)*('02_HW'!$C$6))*('02_HW'!$C$10)),((1)*(((((('01_Inputs'!$C$5)*('01_Inputs'!$C$10)))*('01_Inputs'!$B$58)*('01_Inputs'!$C$16)+((IF(('01_Inputs'!$K$58)=1,('01_Inputs'!$C$5),1)))*((('01_Inputs'!$B$58)*('01_Inputs'!$D$58)))*('01_Inputs'!$C$37)))+(0)+((((('01_Inputs'!$C$5)*('01_Inputs'!$C$10)))*('01_Inputs'!$F$58)*('01_Inputs'!$M$58))))/(('01_Inputs'!$C$34)*('02_HW'!$C$7))*('02_HW'!$C$10)))+(1)*('02_HW'!$C$9)*('02_HW'!$C$10))</x:f>
        <x:v>0.004569842162162162</x:v>
      </x:c>
      <x:c r="R17" s="21" t="str">
        <x:f>IF(O17&gt;P17,"compute",IF(P17&gt;O17,"memory","balanced"))</x:f>
        <x:v>memory</x:v>
      </x:c>
      <x:c r="S17" s="24" t="str">
        <x:v>Router compute is dense in capacity; capacity remains a residency dimension.</x:v>
      </x:c>
    </x:row>
    <x:row r="18">
      <x:c r="A18" s="21" t="n">
        <x:f>ROW()-11</x:f>
        <x:v>7</x:v>
      </x:c>
      <x:c r="B18" s="21" t="str">
        <x:v>decode</x:v>
      </x:c>
      <x:c r="C18" s="21" t="str">
        <x:v>cms_forward</x:v>
      </x:c>
      <x:c r="D18" s="21" t="str">
        <x:v>cms_l2_expert_a</x:v>
      </x:c>
      <x:c r="E18" s="24" t="str">
        <x:v>2N·topk·D·R</x:v>
      </x:c>
      <x:c r="F18" s="66" t="n">
        <x:f>1</x:f>
        <x:v>1</x:v>
      </x:c>
      <x:c r="G18" s="69" t="n">
        <x:f>(2*((('01_Inputs'!$C$5)*('01_Inputs'!$C$10)))*('01_Inputs'!$F$58)*('01_Inputs'!$B$58)*('01_Inputs'!$E$58))</x:f>
        <x:v>33554432</x:v>
      </x:c>
      <x:c r="H18" s="69" t="n">
        <x:f>(((('01_Inputs'!$C$5)*('01_Inputs'!$C$10)))*('01_Inputs'!$B$58)*('01_Inputs'!$C$16)+((((('01_Inputs'!$C$5)*('01_Inputs'!$C$10)))*('01_Inputs'!$F$58)*('01_Inputs'!$M$58)))+((IF(('01_Inputs'!$K$58)=1,('01_Inputs'!$C$5),1)))*((MIN(('01_Inputs'!$D$58),IF(('01_Inputs'!$K$58)=1,('01_Inputs'!$C$10)*('01_Inputs'!$F$58),((('01_Inputs'!$C$5)*('01_Inputs'!$C$10)))*('01_Inputs'!$F$58)))))*((('01_Inputs'!$B$58)*('01_Inputs'!$E$58)))*('01_Inputs'!$C$37))</x:f>
        <x:v>17039616</x:v>
      </x:c>
      <x:c r="I18" s="69" t="n">
        <x:f>0</x:f>
        <x:v>0</x:v>
      </x:c>
      <x:c r="J18" s="69" t="n">
        <x:f>(((('01_Inputs'!$C$5)*('01_Inputs'!$C$10)))*('01_Inputs'!$F$58)*('01_Inputs'!$E$58)*('01_Inputs'!$C$16))</x:f>
        <x:v>2048</x:v>
      </x:c>
      <x:c r="K18" s="69" t="n">
        <x:f>(1)*((((('01_Inputs'!$C$5)*('01_Inputs'!$C$10)))*('01_Inputs'!$B$58)*('01_Inputs'!$C$16)+((((('01_Inputs'!$C$5)*('01_Inputs'!$C$10)))*('01_Inputs'!$F$58)*('01_Inputs'!$M$58)))+((IF(('01_Inputs'!$K$58)=1,('01_Inputs'!$C$5),1)))*((MIN(('01_Inputs'!$D$58),IF(('01_Inputs'!$K$58)=1,('01_Inputs'!$C$10)*('01_Inputs'!$F$58),((('01_Inputs'!$C$5)*('01_Inputs'!$C$10)))*('01_Inputs'!$F$58)))))*((('01_Inputs'!$B$58)*('01_Inputs'!$E$58)))*('01_Inputs'!$C$37)))</x:f>
        <x:v>17039616</x:v>
      </x:c>
      <x:c r="L18" s="69" t="n">
        <x:f>(1)*((0)+((((('01_Inputs'!$C$5)*('01_Inputs'!$C$10)))*('01_Inputs'!$F$58)*('01_Inputs'!$E$58)*('01_Inputs'!$C$16))))</x:f>
        <x:v>2048</x:v>
      </x:c>
      <x:c r="M18" s="69" t="n">
        <x:f>0</x:f>
        <x:v>0</x:v>
      </x:c>
      <x:c r="N18" s="66" t="n">
        <x:f>IF(((1)*(((((('01_Inputs'!$C$5)*('01_Inputs'!$C$10)))*('01_Inputs'!$B$58)*('01_Inputs'!$C$16)+((((('01_Inputs'!$C$5)*('01_Inputs'!$C$10)))*('01_Inputs'!$F$58)*('01_Inputs'!$M$58)))+((IF(('01_Inputs'!$K$58)=1,('01_Inputs'!$C$5),1)))*((MIN(('01_Inputs'!$D$58),IF(('01_Inputs'!$K$58)=1,('01_Inputs'!$C$10)*('01_Inputs'!$F$58),((('01_Inputs'!$C$5)*('01_Inputs'!$C$10)))*('01_Inputs'!$F$58)))))*((('01_Inputs'!$B$58)*('01_Inputs'!$E$58)))*('01_Inputs'!$C$37)))+(0)+((((('01_Inputs'!$C$5)*('01_Inputs'!$C$10)))*('01_Inputs'!$F$58)*('01_Inputs'!$E$58)*('01_Inputs'!$C$16)))))=0,"",((1)*((2*((('01_Inputs'!$C$5)*('01_Inputs'!$C$10)))*('01_Inputs'!$F$58)*('01_Inputs'!$B$58)*('01_Inputs'!$E$58))))/(((1)*(((((('01_Inputs'!$C$5)*('01_Inputs'!$C$10)))*('01_Inputs'!$B$58)*('01_Inputs'!$C$16)+((((('01_Inputs'!$C$5)*('01_Inputs'!$C$10)))*('01_Inputs'!$F$58)*('01_Inputs'!$M$58)))+((IF(('01_Inputs'!$K$58)=1,('01_Inputs'!$C$5),1)))*((MIN(('01_Inputs'!$D$58),IF(('01_Inputs'!$K$58)=1,('01_Inputs'!$C$10)*('01_Inputs'!$F$58),((('01_Inputs'!$C$5)*('01_Inputs'!$C$10)))*('01_Inputs'!$F$58)))))*((('01_Inputs'!$B$58)*('01_Inputs'!$E$58)))*('01_Inputs'!$C$37)))+(0)+((((('01_Inputs'!$C$5)*('01_Inputs'!$C$10)))*('01_Inputs'!$F$58)*('01_Inputs'!$E$58)*('01_Inputs'!$C$16)))))))</x:f>
        <x:v>1.968964533040905</x:v>
      </x:c>
      <x:c r="O18" s="66" t="n">
        <x:f>((1)*((2*((('01_Inputs'!$C$5)*('01_Inputs'!$C$10)))*('01_Inputs'!$F$58)*('01_Inputs'!$B$58)*('01_Inputs'!$E$58)))/(('01_Inputs'!$C$33)*('02_HW'!$C$6))*('02_HW'!$C$10))</x:f>
        <x:v>0.0000072723086259211094</x:v>
      </x:c>
      <x:c r="P18" s="66" t="n">
        <x:f>((1)*(((((('01_Inputs'!$C$5)*('01_Inputs'!$C$10)))*('01_Inputs'!$B$58)*('01_Inputs'!$C$16)+((((('01_Inputs'!$C$5)*('01_Inputs'!$C$10)))*('01_Inputs'!$F$58)*('01_Inputs'!$M$58)))+((IF(('01_Inputs'!$K$58)=1,('01_Inputs'!$C$5),1)))*((MIN(('01_Inputs'!$D$58),IF(('01_Inputs'!$K$58)=1,('01_Inputs'!$C$10)*('01_Inputs'!$F$58),((('01_Inputs'!$C$5)*('01_Inputs'!$C$10)))*('01_Inputs'!$F$58)))))*((('01_Inputs'!$B$58)*('01_Inputs'!$E$58)))*('01_Inputs'!$C$37)))+(0)+((((('01_Inputs'!$C$5)*('01_Inputs'!$C$10)))*('01_Inputs'!$F$58)*('01_Inputs'!$E$58)*('01_Inputs'!$C$16))))/(('01_Inputs'!$C$34)*('02_HW'!$C$7))*('02_HW'!$C$10))</x:f>
        <x:v>0.0023029275675675678</x:v>
      </x:c>
      <x:c r="Q18" s="66" t="n">
        <x:f>(MAX(((1)*((2*((('01_Inputs'!$C$5)*('01_Inputs'!$C$10)))*('01_Inputs'!$F$58)*('01_Inputs'!$B$58)*('01_Inputs'!$E$58)))/(('01_Inputs'!$C$33)*('02_HW'!$C$6))*('02_HW'!$C$10)),((1)*(((((('01_Inputs'!$C$5)*('01_Inputs'!$C$10)))*('01_Inputs'!$B$58)*('01_Inputs'!$C$16)+((((('01_Inputs'!$C$5)*('01_Inputs'!$C$10)))*('01_Inputs'!$F$58)*('01_Inputs'!$M$58)))+((IF(('01_Inputs'!$K$58)=1,('01_Inputs'!$C$5),1)))*((MIN(('01_Inputs'!$D$58),IF(('01_Inputs'!$K$58)=1,('01_Inputs'!$C$10)*('01_Inputs'!$F$58),((('01_Inputs'!$C$5)*('01_Inputs'!$C$10)))*('01_Inputs'!$F$58)))))*((('01_Inputs'!$B$58)*('01_Inputs'!$E$58)))*('01_Inputs'!$C$37)))+(0)+((((('01_Inputs'!$C$5)*('01_Inputs'!$C$10)))*('01_Inputs'!$F$58)*('01_Inputs'!$E$58)*('01_Inputs'!$C$16))))/(('01_Inputs'!$C$34)*('02_HW'!$C$7))*('02_HW'!$C$10)))+(1)*('02_HW'!$C$9)*('02_HW'!$C$10))</x:f>
        <x:v>0.0023029275675675678</x:v>
      </x:c>
      <x:c r="R18" s="21" t="str">
        <x:f>IF(O18&gt;P18,"compute",IF(P18&gt;O18,"memory","balanced"))</x:f>
        <x:v>memory</x:v>
      </x:c>
      <x:c r="S18" s="24" t="str">
        <x:v>HBM reads use the per-request unique-active upper bound min(C,Q·top-k).</x:v>
      </x:c>
    </x:row>
    <x:row r="19">
      <x:c r="A19" s="21" t="n">
        <x:f>ROW()-11</x:f>
        <x:v>8</x:v>
      </x:c>
      <x:c r="B19" s="21" t="str">
        <x:v>decode</x:v>
      </x:c>
      <x:c r="C19" s="21" t="str">
        <x:v>cms_forward</x:v>
      </x:c>
      <x:c r="D19" s="21" t="str">
        <x:v>cms_l2_expert_b</x:v>
      </x:c>
      <x:c r="E19" s="24" t="str">
        <x:v>2N·topk·R·D</x:v>
      </x:c>
      <x:c r="F19" s="66" t="n">
        <x:f>1</x:f>
        <x:v>1</x:v>
      </x:c>
      <x:c r="G19" s="69" t="n">
        <x:f>(2*((('01_Inputs'!$C$5)*('01_Inputs'!$C$10)))*('01_Inputs'!$F$58)*('01_Inputs'!$E$58)*('01_Inputs'!$C$58))</x:f>
        <x:v>33554432</x:v>
      </x:c>
      <x:c r="H19" s="69" t="n">
        <x:f>(((((('01_Inputs'!$C$5)*('01_Inputs'!$C$10)))*('01_Inputs'!$F$58)*('01_Inputs'!$E$58)*('01_Inputs'!$C$16)))+((IF(('01_Inputs'!$K$58)=1,('01_Inputs'!$C$5),1)))*((MIN(('01_Inputs'!$D$58),IF(('01_Inputs'!$K$58)=1,('01_Inputs'!$C$10)*('01_Inputs'!$F$58),((('01_Inputs'!$C$5)*('01_Inputs'!$C$10)))*('01_Inputs'!$F$58)))))*((('01_Inputs'!$E$58)*('01_Inputs'!$C$58)))*('01_Inputs'!$C$37))</x:f>
        <x:v>16779264</x:v>
      </x:c>
      <x:c r="I19" s="69" t="n">
        <x:f>0</x:f>
        <x:v>0</x:v>
      </x:c>
      <x:c r="J19" s="69" t="n">
        <x:f>(((('01_Inputs'!$C$5)*('01_Inputs'!$C$10)))*('01_Inputs'!$C$58)*('01_Inputs'!$C$16))</x:f>
        <x:v>262144</x:v>
      </x:c>
      <x:c r="K19" s="69" t="n">
        <x:f>(1)*((((((('01_Inputs'!$C$5)*('01_Inputs'!$C$10)))*('01_Inputs'!$F$58)*('01_Inputs'!$E$58)*('01_Inputs'!$C$16)))+((IF(('01_Inputs'!$K$58)=1,('01_Inputs'!$C$5),1)))*((MIN(('01_Inputs'!$D$58),IF(('01_Inputs'!$K$58)=1,('01_Inputs'!$C$10)*('01_Inputs'!$F$58),((('01_Inputs'!$C$5)*('01_Inputs'!$C$10)))*('01_Inputs'!$F$58)))))*((('01_Inputs'!$E$58)*('01_Inputs'!$C$58)))*('01_Inputs'!$C$37)))</x:f>
        <x:v>16779264</x:v>
      </x:c>
      <x:c r="L19" s="69" t="n">
        <x:f>(1)*((0)+((((('01_Inputs'!$C$5)*('01_Inputs'!$C$10)))*('01_Inputs'!$C$58)*('01_Inputs'!$C$16))))</x:f>
        <x:v>262144</x:v>
      </x:c>
      <x:c r="M19" s="69" t="n">
        <x:f>0</x:f>
        <x:v>0</x:v>
      </x:c>
      <x:c r="N19" s="66" t="n">
        <x:f>IF(((1)*(((((((('01_Inputs'!$C$5)*('01_Inputs'!$C$10)))*('01_Inputs'!$F$58)*('01_Inputs'!$E$58)*('01_Inputs'!$C$16)))+((IF(('01_Inputs'!$K$58)=1,('01_Inputs'!$C$5),1)))*((MIN(('01_Inputs'!$D$58),IF(('01_Inputs'!$K$58)=1,('01_Inputs'!$C$10)*('01_Inputs'!$F$58),((('01_Inputs'!$C$5)*('01_Inputs'!$C$10)))*('01_Inputs'!$F$58)))))*((('01_Inputs'!$E$58)*('01_Inputs'!$C$58)))*('01_Inputs'!$C$37)))+(0)+((((('01_Inputs'!$C$5)*('01_Inputs'!$C$10)))*('01_Inputs'!$C$58)*('01_Inputs'!$C$16)))))=0,"",((1)*((2*((('01_Inputs'!$C$5)*('01_Inputs'!$C$10)))*('01_Inputs'!$F$58)*('01_Inputs'!$E$58)*('01_Inputs'!$C$58))))/(((1)*(((((((('01_Inputs'!$C$5)*('01_Inputs'!$C$10)))*('01_Inputs'!$F$58)*('01_Inputs'!$E$58)*('01_Inputs'!$C$16)))+((IF(('01_Inputs'!$K$58)=1,('01_Inputs'!$C$5),1)))*((MIN(('01_Inputs'!$D$58),IF(('01_Inputs'!$K$58)=1,('01_Inputs'!$C$10)*('01_Inputs'!$F$58),((('01_Inputs'!$C$5)*('01_Inputs'!$C$10)))*('01_Inputs'!$F$58)))))*((('01_Inputs'!$E$58)*('01_Inputs'!$C$58)))*('01_Inputs'!$C$37)))+(0)+((((('01_Inputs'!$C$5)*('01_Inputs'!$C$10)))*('01_Inputs'!$C$58)*('01_Inputs'!$C$16)))))))</x:f>
        <x:v>1.9689941112847014</x:v>
      </x:c>
      <x:c r="O19" s="66" t="n">
        <x:f>((1)*((2*((('01_Inputs'!$C$5)*('01_Inputs'!$C$10)))*('01_Inputs'!$F$58)*('01_Inputs'!$E$58)*('01_Inputs'!$C$58)))/(('01_Inputs'!$C$33)*('02_HW'!$C$6))*('02_HW'!$C$10))</x:f>
        <x:v>0.0000072723086259211094</x:v>
      </x:c>
      <x:c r="P19" s="66" t="n">
        <x:f>((1)*(((((((('01_Inputs'!$C$5)*('01_Inputs'!$C$10)))*('01_Inputs'!$F$58)*('01_Inputs'!$E$58)*('01_Inputs'!$C$16)))+((IF(('01_Inputs'!$K$58)=1,('01_Inputs'!$C$5),1)))*((MIN(('01_Inputs'!$D$58),IF(('01_Inputs'!$K$58)=1,('01_Inputs'!$C$10)*('01_Inputs'!$F$58),((('01_Inputs'!$C$5)*('01_Inputs'!$C$10)))*('01_Inputs'!$F$58)))))*((('01_Inputs'!$E$58)*('01_Inputs'!$C$58)))*('01_Inputs'!$C$37)))+(0)+((((('01_Inputs'!$C$5)*('01_Inputs'!$C$10)))*('01_Inputs'!$C$58)*('01_Inputs'!$C$16))))/(('01_Inputs'!$C$34)*('02_HW'!$C$7))*('02_HW'!$C$10))</x:f>
        <x:v>0.002302892972972973</x:v>
      </x:c>
      <x:c r="Q19" s="66" t="n">
        <x:f>(MAX(((1)*((2*((('01_Inputs'!$C$5)*('01_Inputs'!$C$10)))*('01_Inputs'!$F$58)*('01_Inputs'!$E$58)*('01_Inputs'!$C$58)))/(('01_Inputs'!$C$33)*('02_HW'!$C$6))*('02_HW'!$C$10)),((1)*(((((((('01_Inputs'!$C$5)*('01_Inputs'!$C$10)))*('01_Inputs'!$F$58)*('01_Inputs'!$E$58)*('01_Inputs'!$C$16)))+((IF(('01_Inputs'!$K$58)=1,('01_Inputs'!$C$5),1)))*((MIN(('01_Inputs'!$D$58),IF(('01_Inputs'!$K$58)=1,('01_Inputs'!$C$10)*('01_Inputs'!$F$58),((('01_Inputs'!$C$5)*('01_Inputs'!$C$10)))*('01_Inputs'!$F$58)))))*((('01_Inputs'!$E$58)*('01_Inputs'!$C$58)))*('01_Inputs'!$C$37)))+(0)+((((('01_Inputs'!$C$5)*('01_Inputs'!$C$10)))*('01_Inputs'!$C$58)*('01_Inputs'!$C$16))))/(('01_Inputs'!$C$34)*('02_HW'!$C$7))*('02_HW'!$C$10)))+(1)*('02_HW'!$C$9)*('02_HW'!$C$10))</x:f>
        <x:v>0.002302892972972973</x:v>
      </x:c>
      <x:c r="R19" s="21" t="str">
        <x:f>IF(O19&gt;P19,"compute",IF(P19&gt;O19,"memory","balanced"))</x:f>
        <x:v>memory</x:v>
      </x:c>
      <x:c r="S19" s="24" t="str">
        <x:v>Only top-k active B matrices are read; no capacity×LRD dense hidden flatten.</x:v>
      </x:c>
    </x:row>
    <x:row r="20">
      <x:c r="A20" s="21" t="n">
        <x:f>ROW()-11</x:f>
        <x:v>9</x:v>
      </x:c>
      <x:c r="B20" s="21" t="str">
        <x:v>decode</x:v>
      </x:c>
      <x:c r="C20" s="21" t="str">
        <x:v>cms_forward</x:v>
      </x:c>
      <x:c r="D20" s="21" t="str">
        <x:v>cms_l3_router</x:v>
      </x:c>
      <x:c r="E20" s="24" t="str">
        <x:v>2ND·C + crouterN·C</x:v>
      </x:c>
      <x:c r="F20" s="66" t="n">
        <x:f>1</x:f>
        <x:v>1</x:v>
      </x:c>
      <x:c r="G20" s="69" t="n">
        <x:f>(2*((('01_Inputs'!$C$5)*('01_Inputs'!$C$10)))*('01_Inputs'!$B$59)*('01_Inputs'!$D$59)+('01_Inputs'!$G$59)*((('01_Inputs'!$C$5)*('01_Inputs'!$C$10)))*('01_Inputs'!$D$59))</x:f>
        <x:v>134225920</x:v>
      </x:c>
      <x:c r="H20" s="69" t="n">
        <x:f>(((('01_Inputs'!$C$5)*('01_Inputs'!$C$10)))*('01_Inputs'!$B$59)*('01_Inputs'!$C$16)+((IF(('01_Inputs'!$K$59)=1,('01_Inputs'!$C$5),1)))*((('01_Inputs'!$B$59)*('01_Inputs'!$D$59)))*('01_Inputs'!$C$37))</x:f>
        <x:v>67371008</x:v>
      </x:c>
      <x:c r="I20" s="69" t="n">
        <x:f>0</x:f>
        <x:v>0</x:v>
      </x:c>
      <x:c r="J20" s="69" t="n">
        <x:f>(((('01_Inputs'!$C$5)*('01_Inputs'!$C$10)))*('01_Inputs'!$F$59)*('01_Inputs'!$M$59))</x:f>
        <x:v>256</x:v>
      </x:c>
      <x:c r="K20" s="69" t="n">
        <x:f>(1)*((((('01_Inputs'!$C$5)*('01_Inputs'!$C$10)))*('01_Inputs'!$B$59)*('01_Inputs'!$C$16)+((IF(('01_Inputs'!$K$59)=1,('01_Inputs'!$C$5),1)))*((('01_Inputs'!$B$59)*('01_Inputs'!$D$59)))*('01_Inputs'!$C$37)))</x:f>
        <x:v>67371008</x:v>
      </x:c>
      <x:c r="L20" s="69" t="n">
        <x:f>(1)*((0)+((((('01_Inputs'!$C$5)*('01_Inputs'!$C$10)))*('01_Inputs'!$F$59)*('01_Inputs'!$M$59))))</x:f>
        <x:v>256</x:v>
      </x:c>
      <x:c r="M20" s="69" t="n">
        <x:f>(((IF(('01_Inputs'!$K$59)=1,('01_Inputs'!$C$5),1)))*((((('01_Inputs'!$B$59)*('01_Inputs'!$D$59)))+('01_Inputs'!$D$59)*(((('01_Inputs'!$B$59)*('01_Inputs'!$E$59)))+((('01_Inputs'!$E$59)*('01_Inputs'!$C$59))))))*(('01_Inputs'!$C$37)+('01_Inputs'!$J$59)*('01_Inputs'!$C$38)))</x:f>
        <x:v>8657043456</x:v>
      </x:c>
      <x:c r="N20" s="66" t="n">
        <x:f>IF(((1)*(((((('01_Inputs'!$C$5)*('01_Inputs'!$C$10)))*('01_Inputs'!$B$59)*('01_Inputs'!$C$16)+((IF(('01_Inputs'!$K$59)=1,('01_Inputs'!$C$5),1)))*((('01_Inputs'!$B$59)*('01_Inputs'!$D$59)))*('01_Inputs'!$C$37)))+(0)+((((('01_Inputs'!$C$5)*('01_Inputs'!$C$10)))*('01_Inputs'!$F$59)*('01_Inputs'!$M$59)))))=0,"",((1)*((2*((('01_Inputs'!$C$5)*('01_Inputs'!$C$10)))*('01_Inputs'!$B$59)*('01_Inputs'!$D$59)+('01_Inputs'!$G$59)*((('01_Inputs'!$C$5)*('01_Inputs'!$C$10)))*('01_Inputs'!$D$59))))/(((1)*(((((('01_Inputs'!$C$5)*('01_Inputs'!$C$10)))*('01_Inputs'!$B$59)*('01_Inputs'!$C$16)+((IF(('01_Inputs'!$K$59)=1,('01_Inputs'!$C$5),1)))*((('01_Inputs'!$B$59)*('01_Inputs'!$D$59)))*('01_Inputs'!$C$37)))+(0)+((((('01_Inputs'!$C$5)*('01_Inputs'!$C$10)))*('01_Inputs'!$F$59)*('01_Inputs'!$M$59)))))))</x:f>
        <x:v>1.9923319235928243</x:v>
      </x:c>
      <x:c r="O20" s="66" t="n">
        <x:f>((1)*((2*((('01_Inputs'!$C$5)*('01_Inputs'!$C$10)))*('01_Inputs'!$B$59)*('01_Inputs'!$D$59)+('01_Inputs'!$G$59)*((('01_Inputs'!$C$5)*('01_Inputs'!$C$10)))*('01_Inputs'!$D$59)))/(('01_Inputs'!$C$33)*('02_HW'!$C$6))*('02_HW'!$C$10))</x:f>
        <x:v>0.000029091009969657566</x:v>
      </x:c>
      <x:c r="P20" s="66" t="n">
        <x:f>((1)*(((((('01_Inputs'!$C$5)*('01_Inputs'!$C$10)))*('01_Inputs'!$B$59)*('01_Inputs'!$C$16)+((IF(('01_Inputs'!$K$59)=1,('01_Inputs'!$C$5),1)))*((('01_Inputs'!$B$59)*('01_Inputs'!$D$59)))*('01_Inputs'!$C$37)))+(0)+((((('01_Inputs'!$C$5)*('01_Inputs'!$C$10)))*('01_Inputs'!$F$59)*('01_Inputs'!$M$59))))/(('01_Inputs'!$C$34)*('02_HW'!$C$7))*('02_HW'!$C$10))</x:f>
        <x:v>0.009104224864864865</x:v>
      </x:c>
      <x:c r="Q20" s="66" t="n">
        <x:f>(MAX(((1)*((2*((('01_Inputs'!$C$5)*('01_Inputs'!$C$10)))*('01_Inputs'!$B$59)*('01_Inputs'!$D$59)+('01_Inputs'!$G$59)*((('01_Inputs'!$C$5)*('01_Inputs'!$C$10)))*('01_Inputs'!$D$59)))/(('01_Inputs'!$C$33)*('02_HW'!$C$6))*('02_HW'!$C$10)),((1)*(((((('01_Inputs'!$C$5)*('01_Inputs'!$C$10)))*('01_Inputs'!$B$59)*('01_Inputs'!$C$16)+((IF(('01_Inputs'!$K$59)=1,('01_Inputs'!$C$5),1)))*((('01_Inputs'!$B$59)*('01_Inputs'!$D$59)))*('01_Inputs'!$C$37)))+(0)+((((('01_Inputs'!$C$5)*('01_Inputs'!$C$10)))*('01_Inputs'!$F$59)*('01_Inputs'!$M$59))))/(('01_Inputs'!$C$34)*('02_HW'!$C$7))*('02_HW'!$C$10)))+(1)*('02_HW'!$C$9)*('02_HW'!$C$10))</x:f>
        <x:v>0.009104224864864865</x:v>
      </x:c>
      <x:c r="R20" s="21" t="str">
        <x:f>IF(O20&gt;P20,"compute",IF(P20&gt;O20,"memory","balanced"))</x:f>
        <x:v>memory</x:v>
      </x:c>
      <x:c r="S20" s="24" t="str">
        <x:v>Router compute is dense in capacity; capacity remains a residency dimension.</x:v>
      </x:c>
    </x:row>
    <x:row r="21">
      <x:c r="A21" s="21" t="n">
        <x:f>ROW()-11</x:f>
        <x:v>10</x:v>
      </x:c>
      <x:c r="B21" s="21" t="str">
        <x:v>decode</x:v>
      </x:c>
      <x:c r="C21" s="21" t="str">
        <x:v>cms_forward</x:v>
      </x:c>
      <x:c r="D21" s="21" t="str">
        <x:v>cms_l3_expert_a</x:v>
      </x:c>
      <x:c r="E21" s="24" t="str">
        <x:v>2N·topk·D·R</x:v>
      </x:c>
      <x:c r="F21" s="66" t="n">
        <x:f>1</x:f>
        <x:v>1</x:v>
      </x:c>
      <x:c r="G21" s="69" t="n">
        <x:f>(2*((('01_Inputs'!$C$5)*('01_Inputs'!$C$10)))*('01_Inputs'!$F$59)*('01_Inputs'!$B$59)*('01_Inputs'!$E$59))</x:f>
        <x:v>33554432</x:v>
      </x:c>
      <x:c r="H21" s="69" t="n">
        <x:f>(((('01_Inputs'!$C$5)*('01_Inputs'!$C$10)))*('01_Inputs'!$B$59)*('01_Inputs'!$C$16)+((((('01_Inputs'!$C$5)*('01_Inputs'!$C$10)))*('01_Inputs'!$F$59)*('01_Inputs'!$M$59)))+((IF(('01_Inputs'!$K$59)=1,('01_Inputs'!$C$5),1)))*((MIN(('01_Inputs'!$D$59),IF(('01_Inputs'!$K$59)=1,('01_Inputs'!$C$10)*('01_Inputs'!$F$59),((('01_Inputs'!$C$5)*('01_Inputs'!$C$10)))*('01_Inputs'!$F$59)))))*((('01_Inputs'!$B$59)*('01_Inputs'!$E$59)))*('01_Inputs'!$C$37))</x:f>
        <x:v>17039616</x:v>
      </x:c>
      <x:c r="I21" s="69" t="n">
        <x:f>0</x:f>
        <x:v>0</x:v>
      </x:c>
      <x:c r="J21" s="69" t="n">
        <x:f>(((('01_Inputs'!$C$5)*('01_Inputs'!$C$10)))*('01_Inputs'!$F$59)*('01_Inputs'!$E$59)*('01_Inputs'!$C$16))</x:f>
        <x:v>2048</x:v>
      </x:c>
      <x:c r="K21" s="69" t="n">
        <x:f>(1)*((((('01_Inputs'!$C$5)*('01_Inputs'!$C$10)))*('01_Inputs'!$B$59)*('01_Inputs'!$C$16)+((((('01_Inputs'!$C$5)*('01_Inputs'!$C$10)))*('01_Inputs'!$F$59)*('01_Inputs'!$M$59)))+((IF(('01_Inputs'!$K$59)=1,('01_Inputs'!$C$5),1)))*((MIN(('01_Inputs'!$D$59),IF(('01_Inputs'!$K$59)=1,('01_Inputs'!$C$10)*('01_Inputs'!$F$59),((('01_Inputs'!$C$5)*('01_Inputs'!$C$10)))*('01_Inputs'!$F$59)))))*((('01_Inputs'!$B$59)*('01_Inputs'!$E$59)))*('01_Inputs'!$C$37)))</x:f>
        <x:v>17039616</x:v>
      </x:c>
      <x:c r="L21" s="69" t="n">
        <x:f>(1)*((0)+((((('01_Inputs'!$C$5)*('01_Inputs'!$C$10)))*('01_Inputs'!$F$59)*('01_Inputs'!$E$59)*('01_Inputs'!$C$16))))</x:f>
        <x:v>2048</x:v>
      </x:c>
      <x:c r="M21" s="69" t="n">
        <x:f>0</x:f>
        <x:v>0</x:v>
      </x:c>
      <x:c r="N21" s="66" t="n">
        <x:f>IF(((1)*(((((('01_Inputs'!$C$5)*('01_Inputs'!$C$10)))*('01_Inputs'!$B$59)*('01_Inputs'!$C$16)+((((('01_Inputs'!$C$5)*('01_Inputs'!$C$10)))*('01_Inputs'!$F$59)*('01_Inputs'!$M$59)))+((IF(('01_Inputs'!$K$59)=1,('01_Inputs'!$C$5),1)))*((MIN(('01_Inputs'!$D$59),IF(('01_Inputs'!$K$59)=1,('01_Inputs'!$C$10)*('01_Inputs'!$F$59),((('01_Inputs'!$C$5)*('01_Inputs'!$C$10)))*('01_Inputs'!$F$59)))))*((('01_Inputs'!$B$59)*('01_Inputs'!$E$59)))*('01_Inputs'!$C$37)))+(0)+((((('01_Inputs'!$C$5)*('01_Inputs'!$C$10)))*('01_Inputs'!$F$59)*('01_Inputs'!$E$59)*('01_Inputs'!$C$16)))))=0,"",((1)*((2*((('01_Inputs'!$C$5)*('01_Inputs'!$C$10)))*('01_Inputs'!$F$59)*('01_Inputs'!$B$59)*('01_Inputs'!$E$59))))/(((1)*(((((('01_Inputs'!$C$5)*('01_Inputs'!$C$10)))*('01_Inputs'!$B$59)*('01_Inputs'!$C$16)+((((('01_Inputs'!$C$5)*('01_Inputs'!$C$10)))*('01_Inputs'!$F$59)*('01_Inputs'!$M$59)))+((IF(('01_Inputs'!$K$59)=1,('01_Inputs'!$C$5),1)))*((MIN(('01_Inputs'!$D$59),IF(('01_Inputs'!$K$59)=1,('01_Inputs'!$C$10)*('01_Inputs'!$F$59),((('01_Inputs'!$C$5)*('01_Inputs'!$C$10)))*('01_Inputs'!$F$59)))))*((('01_Inputs'!$B$59)*('01_Inputs'!$E$59)))*('01_Inputs'!$C$37)))+(0)+((((('01_Inputs'!$C$5)*('01_Inputs'!$C$10)))*('01_Inputs'!$F$59)*('01_Inputs'!$E$59)*('01_Inputs'!$C$16)))))))</x:f>
        <x:v>1.968964533040905</x:v>
      </x:c>
      <x:c r="O21" s="66" t="n">
        <x:f>((1)*((2*((('01_Inputs'!$C$5)*('01_Inputs'!$C$10)))*('01_Inputs'!$F$59)*('01_Inputs'!$B$59)*('01_Inputs'!$E$59)))/(('01_Inputs'!$C$33)*('02_HW'!$C$6))*('02_HW'!$C$10))</x:f>
        <x:v>0.0000072723086259211094</x:v>
      </x:c>
      <x:c r="P21" s="66" t="n">
        <x:f>((1)*(((((('01_Inputs'!$C$5)*('01_Inputs'!$C$10)))*('01_Inputs'!$B$59)*('01_Inputs'!$C$16)+((((('01_Inputs'!$C$5)*('01_Inputs'!$C$10)))*('01_Inputs'!$F$59)*('01_Inputs'!$M$59)))+((IF(('01_Inputs'!$K$59)=1,('01_Inputs'!$C$5),1)))*((MIN(('01_Inputs'!$D$59),IF(('01_Inputs'!$K$59)=1,('01_Inputs'!$C$10)*('01_Inputs'!$F$59),((('01_Inputs'!$C$5)*('01_Inputs'!$C$10)))*('01_Inputs'!$F$59)))))*((('01_Inputs'!$B$59)*('01_Inputs'!$E$59)))*('01_Inputs'!$C$37)))+(0)+((((('01_Inputs'!$C$5)*('01_Inputs'!$C$10)))*('01_Inputs'!$F$59)*('01_Inputs'!$E$59)*('01_Inputs'!$C$16))))/(('01_Inputs'!$C$34)*('02_HW'!$C$7))*('02_HW'!$C$10))</x:f>
        <x:v>0.0023029275675675678</x:v>
      </x:c>
      <x:c r="Q21" s="66" t="n">
        <x:f>(MAX(((1)*((2*((('01_Inputs'!$C$5)*('01_Inputs'!$C$10)))*('01_Inputs'!$F$59)*('01_Inputs'!$B$59)*('01_Inputs'!$E$59)))/(('01_Inputs'!$C$33)*('02_HW'!$C$6))*('02_HW'!$C$10)),((1)*(((((('01_Inputs'!$C$5)*('01_Inputs'!$C$10)))*('01_Inputs'!$B$59)*('01_Inputs'!$C$16)+((((('01_Inputs'!$C$5)*('01_Inputs'!$C$10)))*('01_Inputs'!$F$59)*('01_Inputs'!$M$59)))+((IF(('01_Inputs'!$K$59)=1,('01_Inputs'!$C$5),1)))*((MIN(('01_Inputs'!$D$59),IF(('01_Inputs'!$K$59)=1,('01_Inputs'!$C$10)*('01_Inputs'!$F$59),((('01_Inputs'!$C$5)*('01_Inputs'!$C$10)))*('01_Inputs'!$F$59)))))*((('01_Inputs'!$B$59)*('01_Inputs'!$E$59)))*('01_Inputs'!$C$37)))+(0)+((((('01_Inputs'!$C$5)*('01_Inputs'!$C$10)))*('01_Inputs'!$F$59)*('01_Inputs'!$E$59)*('01_Inputs'!$C$16))))/(('01_Inputs'!$C$34)*('02_HW'!$C$7))*('02_HW'!$C$10)))+(1)*('02_HW'!$C$9)*('02_HW'!$C$10))</x:f>
        <x:v>0.0023029275675675678</x:v>
      </x:c>
      <x:c r="R21" s="21" t="str">
        <x:f>IF(O21&gt;P21,"compute",IF(P21&gt;O21,"memory","balanced"))</x:f>
        <x:v>memory</x:v>
      </x:c>
      <x:c r="S21" s="24" t="str">
        <x:v>HBM reads use the per-request unique-active upper bound min(C,Q·top-k).</x:v>
      </x:c>
    </x:row>
    <x:row r="22">
      <x:c r="A22" s="21" t="n">
        <x:f>ROW()-11</x:f>
        <x:v>11</x:v>
      </x:c>
      <x:c r="B22" s="21" t="str">
        <x:v>decode</x:v>
      </x:c>
      <x:c r="C22" s="21" t="str">
        <x:v>cms_forward</x:v>
      </x:c>
      <x:c r="D22" s="21" t="str">
        <x:v>cms_l3_expert_b</x:v>
      </x:c>
      <x:c r="E22" s="24" t="str">
        <x:v>2N·topk·R·D</x:v>
      </x:c>
      <x:c r="F22" s="66" t="n">
        <x:f>1</x:f>
        <x:v>1</x:v>
      </x:c>
      <x:c r="G22" s="69" t="n">
        <x:f>(2*((('01_Inputs'!$C$5)*('01_Inputs'!$C$10)))*('01_Inputs'!$F$59)*('01_Inputs'!$E$59)*('01_Inputs'!$C$59))</x:f>
        <x:v>33554432</x:v>
      </x:c>
      <x:c r="H22" s="69" t="n">
        <x:f>(((((('01_Inputs'!$C$5)*('01_Inputs'!$C$10)))*('01_Inputs'!$F$59)*('01_Inputs'!$E$59)*('01_Inputs'!$C$16)))+((IF(('01_Inputs'!$K$59)=1,('01_Inputs'!$C$5),1)))*((MIN(('01_Inputs'!$D$59),IF(('01_Inputs'!$K$59)=1,('01_Inputs'!$C$10)*('01_Inputs'!$F$59),((('01_Inputs'!$C$5)*('01_Inputs'!$C$10)))*('01_Inputs'!$F$59)))))*((('01_Inputs'!$E$59)*('01_Inputs'!$C$59)))*('01_Inputs'!$C$37))</x:f>
        <x:v>16779264</x:v>
      </x:c>
      <x:c r="I22" s="69" t="n">
        <x:f>0</x:f>
        <x:v>0</x:v>
      </x:c>
      <x:c r="J22" s="69" t="n">
        <x:f>(((('01_Inputs'!$C$5)*('01_Inputs'!$C$10)))*('01_Inputs'!$C$59)*('01_Inputs'!$C$16))</x:f>
        <x:v>262144</x:v>
      </x:c>
      <x:c r="K22" s="69" t="n">
        <x:f>(1)*((((((('01_Inputs'!$C$5)*('01_Inputs'!$C$10)))*('01_Inputs'!$F$59)*('01_Inputs'!$E$59)*('01_Inputs'!$C$16)))+((IF(('01_Inputs'!$K$59)=1,('01_Inputs'!$C$5),1)))*((MIN(('01_Inputs'!$D$59),IF(('01_Inputs'!$K$59)=1,('01_Inputs'!$C$10)*('01_Inputs'!$F$59),((('01_Inputs'!$C$5)*('01_Inputs'!$C$10)))*('01_Inputs'!$F$59)))))*((('01_Inputs'!$E$59)*('01_Inputs'!$C$59)))*('01_Inputs'!$C$37)))</x:f>
        <x:v>16779264</x:v>
      </x:c>
      <x:c r="L22" s="69" t="n">
        <x:f>(1)*((0)+((((('01_Inputs'!$C$5)*('01_Inputs'!$C$10)))*('01_Inputs'!$C$59)*('01_Inputs'!$C$16))))</x:f>
        <x:v>262144</x:v>
      </x:c>
      <x:c r="M22" s="69" t="n">
        <x:f>0</x:f>
        <x:v>0</x:v>
      </x:c>
      <x:c r="N22" s="66" t="n">
        <x:f>IF(((1)*(((((((('01_Inputs'!$C$5)*('01_Inputs'!$C$10)))*('01_Inputs'!$F$59)*('01_Inputs'!$E$59)*('01_Inputs'!$C$16)))+((IF(('01_Inputs'!$K$59)=1,('01_Inputs'!$C$5),1)))*((MIN(('01_Inputs'!$D$59),IF(('01_Inputs'!$K$59)=1,('01_Inputs'!$C$10)*('01_Inputs'!$F$59),((('01_Inputs'!$C$5)*('01_Inputs'!$C$10)))*('01_Inputs'!$F$59)))))*((('01_Inputs'!$E$59)*('01_Inputs'!$C$59)))*('01_Inputs'!$C$37)))+(0)+((((('01_Inputs'!$C$5)*('01_Inputs'!$C$10)))*('01_Inputs'!$C$59)*('01_Inputs'!$C$16)))))=0,"",((1)*((2*((('01_Inputs'!$C$5)*('01_Inputs'!$C$10)))*('01_Inputs'!$F$59)*('01_Inputs'!$E$59)*('01_Inputs'!$C$59))))/(((1)*(((((((('01_Inputs'!$C$5)*('01_Inputs'!$C$10)))*('01_Inputs'!$F$59)*('01_Inputs'!$E$59)*('01_Inputs'!$C$16)))+((IF(('01_Inputs'!$K$59)=1,('01_Inputs'!$C$5),1)))*((MIN(('01_Inputs'!$D$59),IF(('01_Inputs'!$K$59)=1,('01_Inputs'!$C$10)*('01_Inputs'!$F$59),((('01_Inputs'!$C$5)*('01_Inputs'!$C$10)))*('01_Inputs'!$F$59)))))*((('01_Inputs'!$E$59)*('01_Inputs'!$C$59)))*('01_Inputs'!$C$37)))+(0)+((((('01_Inputs'!$C$5)*('01_Inputs'!$C$10)))*('01_Inputs'!$C$59)*('01_Inputs'!$C$16)))))))</x:f>
        <x:v>1.9689941112847014</x:v>
      </x:c>
      <x:c r="O22" s="66" t="n">
        <x:f>((1)*((2*((('01_Inputs'!$C$5)*('01_Inputs'!$C$10)))*('01_Inputs'!$F$59)*('01_Inputs'!$E$59)*('01_Inputs'!$C$59)))/(('01_Inputs'!$C$33)*('02_HW'!$C$6))*('02_HW'!$C$10))</x:f>
        <x:v>0.0000072723086259211094</x:v>
      </x:c>
      <x:c r="P22" s="66" t="n">
        <x:f>((1)*(((((((('01_Inputs'!$C$5)*('01_Inputs'!$C$10)))*('01_Inputs'!$F$59)*('01_Inputs'!$E$59)*('01_Inputs'!$C$16)))+((IF(('01_Inputs'!$K$59)=1,('01_Inputs'!$C$5),1)))*((MIN(('01_Inputs'!$D$59),IF(('01_Inputs'!$K$59)=1,('01_Inputs'!$C$10)*('01_Inputs'!$F$59),((('01_Inputs'!$C$5)*('01_Inputs'!$C$10)))*('01_Inputs'!$F$59)))))*((('01_Inputs'!$E$59)*('01_Inputs'!$C$59)))*('01_Inputs'!$C$37)))+(0)+((((('01_Inputs'!$C$5)*('01_Inputs'!$C$10)))*('01_Inputs'!$C$59)*('01_Inputs'!$C$16))))/(('01_Inputs'!$C$34)*('02_HW'!$C$7))*('02_HW'!$C$10))</x:f>
        <x:v>0.002302892972972973</x:v>
      </x:c>
      <x:c r="Q22" s="66" t="n">
        <x:f>(MAX(((1)*((2*((('01_Inputs'!$C$5)*('01_Inputs'!$C$10)))*('01_Inputs'!$F$59)*('01_Inputs'!$E$59)*('01_Inputs'!$C$59)))/(('01_Inputs'!$C$33)*('02_HW'!$C$6))*('02_HW'!$C$10)),((1)*(((((((('01_Inputs'!$C$5)*('01_Inputs'!$C$10)))*('01_Inputs'!$F$59)*('01_Inputs'!$E$59)*('01_Inputs'!$C$16)))+((IF(('01_Inputs'!$K$59)=1,('01_Inputs'!$C$5),1)))*((MIN(('01_Inputs'!$D$59),IF(('01_Inputs'!$K$59)=1,('01_Inputs'!$C$10)*('01_Inputs'!$F$59),((('01_Inputs'!$C$5)*('01_Inputs'!$C$10)))*('01_Inputs'!$F$59)))))*((('01_Inputs'!$E$59)*('01_Inputs'!$C$59)))*('01_Inputs'!$C$37)))+(0)+((((('01_Inputs'!$C$5)*('01_Inputs'!$C$10)))*('01_Inputs'!$C$59)*('01_Inputs'!$C$16))))/(('01_Inputs'!$C$34)*('02_HW'!$C$7))*('02_HW'!$C$10)))+(1)*('02_HW'!$C$9)*('02_HW'!$C$10))</x:f>
        <x:v>0.002302892972972973</x:v>
      </x:c>
      <x:c r="R22" s="21" t="str">
        <x:f>IF(O22&gt;P22,"compute",IF(P22&gt;O22,"memory","balanced"))</x:f>
        <x:v>memory</x:v>
      </x:c>
      <x:c r="S22" s="24" t="str">
        <x:v>Only top-k active B matrices are read; no capacity×LRD dense hidden flatten.</x:v>
      </x:c>
    </x:row>
    <x:row r="23">
      <x:c r="A23" s="21" t="n">
        <x:f>ROW()-11</x:f>
        <x:v>12</x:v>
      </x:c>
      <x:c r="B23" s="21" t="str">
        <x:v>decode</x:v>
      </x:c>
      <x:c r="C23" s="21" t="str">
        <x:v>loss</x:v>
      </x:c>
      <x:c r="D23" s="21" t="str">
        <x:v>M_k_target_forward</x:v>
      </x:c>
      <x:c r="E23" s="24" t="str">
        <x:v>Ffwd(N)</x:v>
      </x:c>
      <x:c r="F23" s="66" t="n">
        <x:f>1</x:f>
        <x:v>1</x:v>
      </x:c>
      <x:c r="G23" s="69" t="n">
        <x:f>(2*((('01_Inputs'!$C$5)*('01_Inputs'!$C$10)))*((('01_Inputs'!$B$48)*('01_Inputs'!$C$48)+('01_Inputs'!$C$48)*('01_Inputs'!$D$48)))+((('01_Inputs'!$C$5)*('01_Inputs'!$C$10)))*(('01_Inputs'!$C$39)*('01_Inputs'!$C$48)+('01_Inputs'!$C$40)*('01_Inputs'!$D$48)))</x:f>
        <x:v>8591245312</x:v>
      </x:c>
      <x:c r="H23" s="69" t="n">
        <x:f>(((((('01_Inputs'!$C$5)*('01_Inputs'!$C$10)))*('01_Inputs'!$B$48)*('01_Inputs'!$C$16)))+('01_Inputs'!$C$5)*((('01_Inputs'!$B$48)*('01_Inputs'!$C$48)+('01_Inputs'!$C$48)*('01_Inputs'!$D$48)))*('01_Inputs'!$C$37)*('01_Inputs'!$H$48))</x:f>
        <x:v>4295229440</x:v>
      </x:c>
      <x:c r="I23" s="69" t="n">
        <x:f>0</x:f>
        <x:v>0</x:v>
      </x:c>
      <x:c r="J23" s="69" t="n">
        <x:f>(((('01_Inputs'!$C$5)*('01_Inputs'!$C$10)))*('01_Inputs'!$D$48)*('01_Inputs'!$C$16))</x:f>
        <x:v>262144</x:v>
      </x:c>
      <x:c r="K23" s="69" t="n">
        <x:f>(1)*((((((('01_Inputs'!$C$5)*('01_Inputs'!$C$10)))*('01_Inputs'!$B$48)*('01_Inputs'!$C$16)))+('01_Inputs'!$C$5)*((('01_Inputs'!$B$48)*('01_Inputs'!$C$48)+('01_Inputs'!$C$48)*('01_Inputs'!$D$48)))*('01_Inputs'!$C$37)*('01_Inputs'!$H$48)))</x:f>
        <x:v>4295229440</x:v>
      </x:c>
      <x:c r="L23" s="69" t="n">
        <x:f>(1)*((0)+((((('01_Inputs'!$C$5)*('01_Inputs'!$C$10)))*('01_Inputs'!$D$48)*('01_Inputs'!$C$16))))</x:f>
        <x:v>262144</x:v>
      </x:c>
      <x:c r="M23" s="69" t="n">
        <x:f>(('01_Inputs'!$C$5)*((('01_Inputs'!$B$48)*('01_Inputs'!$C$48)+('01_Inputs'!$C$48)*('01_Inputs'!$D$48)))*(('01_Inputs'!$C$37)+('01_Inputs'!$F$48)*('01_Inputs'!$C$38)))</x:f>
        <x:v>21474836480</x:v>
      </x:c>
      <x:c r="N23" s="66" t="n">
        <x:f>IF(((1)*(((((((('01_Inputs'!$C$5)*('01_Inputs'!$C$10)))*('01_Inputs'!$B$48)*('01_Inputs'!$C$16)))+('01_Inputs'!$C$5)*((('01_Inputs'!$B$48)*('01_Inputs'!$C$48)+('01_Inputs'!$C$48)*('01_Inputs'!$D$48)))*('01_Inputs'!$C$37)*('01_Inputs'!$H$48)))+(0)+((((('01_Inputs'!$C$5)*('01_Inputs'!$C$10)))*('01_Inputs'!$D$48)*('01_Inputs'!$C$16)))))=0,"",((1)*((2*((('01_Inputs'!$C$5)*('01_Inputs'!$C$10)))*((('01_Inputs'!$B$48)*('01_Inputs'!$C$48)+('01_Inputs'!$C$48)*('01_Inputs'!$D$48)))+((('01_Inputs'!$C$5)*('01_Inputs'!$C$10)))*(('01_Inputs'!$C$39)*('01_Inputs'!$C$48)+('01_Inputs'!$C$40)*('01_Inputs'!$D$48)))))/(((1)*(((((((('01_Inputs'!$C$5)*('01_Inputs'!$C$10)))*('01_Inputs'!$B$48)*('01_Inputs'!$C$16)))+('01_Inputs'!$C$5)*((('01_Inputs'!$B$48)*('01_Inputs'!$C$48)+('01_Inputs'!$C$48)*('01_Inputs'!$D$48)))*('01_Inputs'!$C$37)*('01_Inputs'!$H$48)))+(0)+((((('01_Inputs'!$C$5)*('01_Inputs'!$C$10)))*('01_Inputs'!$D$48)*('01_Inputs'!$C$16)))))))</x:f>
        <x:v>2.000061027706579</x:v>
      </x:c>
      <x:c r="O23" s="66" t="n">
        <x:f>((1)*((2*((('01_Inputs'!$C$5)*('01_Inputs'!$C$10)))*((('01_Inputs'!$B$48)*('01_Inputs'!$C$48)+('01_Inputs'!$C$48)*('01_Inputs'!$D$48)))+((('01_Inputs'!$C$5)*('01_Inputs'!$C$10)))*(('01_Inputs'!$C$39)*('01_Inputs'!$C$48)+('01_Inputs'!$C$40)*('01_Inputs'!$D$48))))/(('01_Inputs'!$C$33)*('02_HW'!$C$6))*('02_HW'!$C$10))</x:f>
        <x:v>0.001861995082791504</x:v>
      </x:c>
      <x:c r="P23" s="66" t="n">
        <x:f>((1)*(((((((('01_Inputs'!$C$5)*('01_Inputs'!$C$10)))*('01_Inputs'!$B$48)*('01_Inputs'!$C$16)))+('01_Inputs'!$C$5)*((('01_Inputs'!$B$48)*('01_Inputs'!$C$48)+('01_Inputs'!$C$48)*('01_Inputs'!$D$48)))*('01_Inputs'!$C$37)*('01_Inputs'!$H$48)))+(0)+((((('01_Inputs'!$C$5)*('01_Inputs'!$C$10)))*('01_Inputs'!$D$48)*('01_Inputs'!$C$16))))/(('01_Inputs'!$C$34)*('02_HW'!$C$7))*('02_HW'!$C$10))</x:f>
        <x:v>0.5804718356756756</x:v>
      </x:c>
      <x:c r="Q23" s="66" t="n">
        <x:f>(MAX(((1)*((2*((('01_Inputs'!$C$5)*('01_Inputs'!$C$10)))*((('01_Inputs'!$B$48)*('01_Inputs'!$C$48)+('01_Inputs'!$C$48)*('01_Inputs'!$D$48)))+((('01_Inputs'!$C$5)*('01_Inputs'!$C$10)))*(('01_Inputs'!$C$39)*('01_Inputs'!$C$48)+('01_Inputs'!$C$40)*('01_Inputs'!$D$48))))/(('01_Inputs'!$C$33)*('02_HW'!$C$6))*('02_HW'!$C$10)),((1)*(((((((('01_Inputs'!$C$5)*('01_Inputs'!$C$10)))*('01_Inputs'!$B$48)*('01_Inputs'!$C$16)))+('01_Inputs'!$C$5)*((('01_Inputs'!$B$48)*('01_Inputs'!$C$48)+('01_Inputs'!$C$48)*('01_Inputs'!$D$48)))*('01_Inputs'!$C$37)*('01_Inputs'!$H$48)))+(0)+((((('01_Inputs'!$C$5)*('01_Inputs'!$C$10)))*('01_Inputs'!$D$48)*('01_Inputs'!$C$16))))/(('01_Inputs'!$C$34)*('02_HW'!$C$7))*('02_HW'!$C$10)))+(1)*('02_HW'!$C$9)*('02_HW'!$C$10))</x:f>
        <x:v>0.5804718356756756</x:v>
      </x:c>
      <x:c r="R23" s="21" t="str">
        <x:f>IF(O23&gt;P23,"compute",IF(P23&gt;O23,"memory","balanced"))</x:f>
        <x:v>memory</x:v>
      </x:c>
      <x:c r="S23" s="24" t="str">
        <x:v>Auxiliary self-target/loss preparation; not a direct block forward output.</x:v>
      </x:c>
    </x:row>
    <x:row r="24">
      <x:c r="A24" s="21" t="n">
        <x:f>ROW()-11</x:f>
        <x:v>13</x:v>
      </x:c>
      <x:c r="B24" s="21" t="str">
        <x:v>decode</x:v>
      </x:c>
      <x:c r="C24" s="21" t="str">
        <x:v>loss</x:v>
      </x:c>
      <x:c r="D24" s="21" t="str">
        <x:v>M_k_prediction_forward</x:v>
      </x:c>
      <x:c r="E24" s="24" t="str">
        <x:v>Ffwd(N)</x:v>
      </x:c>
      <x:c r="F24" s="66" t="n">
        <x:f>1</x:f>
        <x:v>1</x:v>
      </x:c>
      <x:c r="G24" s="69" t="n">
        <x:f>(2*((('01_Inputs'!$C$5)*('01_Inputs'!$C$10)))*((('01_Inputs'!$B$48)*('01_Inputs'!$C$48)+('01_Inputs'!$C$48)*('01_Inputs'!$D$48)))+((('01_Inputs'!$C$5)*('01_Inputs'!$C$10)))*(('01_Inputs'!$C$39)*('01_Inputs'!$C$48)+('01_Inputs'!$C$40)*('01_Inputs'!$D$48)))</x:f>
        <x:v>8591245312</x:v>
      </x:c>
      <x:c r="H24" s="69" t="n">
        <x:f>(((('01_Inputs'!$C$5)*('01_Inputs'!$C$10)))*('01_Inputs'!$B$48)*('01_Inputs'!$C$16))</x:f>
        <x:v>262144</x:v>
      </x:c>
      <x:c r="I24" s="69" t="n">
        <x:f>0</x:f>
        <x:v>0</x:v>
      </x:c>
      <x:c r="J24" s="69" t="n">
        <x:f>(((('01_Inputs'!$C$5)*('01_Inputs'!$C$10)))*('01_Inputs'!$D$48)*('01_Inputs'!$C$16))</x:f>
        <x:v>262144</x:v>
      </x:c>
      <x:c r="K24" s="69" t="n">
        <x:f>(1)*((((('01_Inputs'!$C$5)*('01_Inputs'!$C$10)))*('01_Inputs'!$B$48)*('01_Inputs'!$C$16)))</x:f>
        <x:v>262144</x:v>
      </x:c>
      <x:c r="L24" s="69" t="n">
        <x:f>(1)*((0)+((((('01_Inputs'!$C$5)*('01_Inputs'!$C$10)))*('01_Inputs'!$D$48)*('01_Inputs'!$C$16))))</x:f>
        <x:v>262144</x:v>
      </x:c>
      <x:c r="M24" s="69" t="n">
        <x:f>0</x:f>
        <x:v>0</x:v>
      </x:c>
      <x:c r="N24" s="66" t="n">
        <x:f>IF(((1)*(((((('01_Inputs'!$C$5)*('01_Inputs'!$C$10)))*('01_Inputs'!$B$48)*('01_Inputs'!$C$16)))+(0)+((((('01_Inputs'!$C$5)*('01_Inputs'!$C$10)))*('01_Inputs'!$D$48)*('01_Inputs'!$C$16)))))=0,"",((1)*((2*((('01_Inputs'!$C$5)*('01_Inputs'!$C$10)))*((('01_Inputs'!$B$48)*('01_Inputs'!$C$48)+('01_Inputs'!$C$48)*('01_Inputs'!$D$48)))+((('01_Inputs'!$C$5)*('01_Inputs'!$C$10)))*(('01_Inputs'!$C$39)*('01_Inputs'!$C$48)+('01_Inputs'!$C$40)*('01_Inputs'!$D$48)))))/(((1)*(((((('01_Inputs'!$C$5)*('01_Inputs'!$C$10)))*('01_Inputs'!$B$48)*('01_Inputs'!$C$16)))+(0)+((((('01_Inputs'!$C$5)*('01_Inputs'!$C$10)))*('01_Inputs'!$D$48)*('01_Inputs'!$C$16)))))))</x:f>
        <x:v>16386.5</x:v>
      </x:c>
      <x:c r="O24" s="66" t="n">
        <x:f>((1)*((2*((('01_Inputs'!$C$5)*('01_Inputs'!$C$10)))*((('01_Inputs'!$B$48)*('01_Inputs'!$C$48)+('01_Inputs'!$C$48)*('01_Inputs'!$D$48)))+((('01_Inputs'!$C$5)*('01_Inputs'!$C$10)))*(('01_Inputs'!$C$39)*('01_Inputs'!$C$48)+('01_Inputs'!$C$40)*('01_Inputs'!$D$48))))/(('01_Inputs'!$C$33)*('02_HW'!$C$6))*('02_HW'!$C$10))</x:f>
        <x:v>0.001861995082791504</x:v>
      </x:c>
      <x:c r="P24" s="66" t="n">
        <x:f>((1)*(((((('01_Inputs'!$C$5)*('01_Inputs'!$C$10)))*('01_Inputs'!$B$48)*('01_Inputs'!$C$16)))+(0)+((((('01_Inputs'!$C$5)*('01_Inputs'!$C$10)))*('01_Inputs'!$D$48)*('01_Inputs'!$C$16))))/(('01_Inputs'!$C$34)*('02_HW'!$C$7))*('02_HW'!$C$10))</x:f>
        <x:v>0.00007084972972972974</x:v>
      </x:c>
      <x:c r="Q24" s="66" t="n">
        <x:f>(MAX(((1)*((2*((('01_Inputs'!$C$5)*('01_Inputs'!$C$10)))*((('01_Inputs'!$B$48)*('01_Inputs'!$C$48)+('01_Inputs'!$C$48)*('01_Inputs'!$D$48)))+((('01_Inputs'!$C$5)*('01_Inputs'!$C$10)))*(('01_Inputs'!$C$39)*('01_Inputs'!$C$48)+('01_Inputs'!$C$40)*('01_Inputs'!$D$48))))/(('01_Inputs'!$C$33)*('02_HW'!$C$6))*('02_HW'!$C$10)),((1)*(((((('01_Inputs'!$C$5)*('01_Inputs'!$C$10)))*('01_Inputs'!$B$48)*('01_Inputs'!$C$16)))+(0)+((((('01_Inputs'!$C$5)*('01_Inputs'!$C$10)))*('01_Inputs'!$D$48)*('01_Inputs'!$C$16))))/(('01_Inputs'!$C$34)*('02_HW'!$C$7))*('02_HW'!$C$10)))+(1)*('02_HW'!$C$9)*('02_HW'!$C$10))</x:f>
        <x:v>0.001861995082791504</x:v>
      </x:c>
      <x:c r="R24" s="21" t="str">
        <x:f>IF(O24&gt;P24,"compute",IF(P24&gt;O24,"memory","balanced"))</x:f>
        <x:v>compute</x:v>
      </x:c>
      <x:c r="S24" s="24" t="str">
        <x:v>Prediction term for the inner loss.</x:v>
      </x:c>
    </x:row>
    <x:row r="25">
      <x:c r="A25" s="21" t="n">
        <x:f>ROW()-11</x:f>
        <x:v>14</x:v>
      </x:c>
      <x:c r="B25" s="21" t="str">
        <x:v>decode</x:v>
      </x:c>
      <x:c r="C25" s="21" t="str">
        <x:v>loss</x:v>
      </x:c>
      <x:c r="D25" s="21" t="str">
        <x:v>M_v_target_forward</x:v>
      </x:c>
      <x:c r="E25" s="24" t="str">
        <x:v>Ffwd(N)</x:v>
      </x:c>
      <x:c r="F25" s="66" t="n">
        <x:f>1</x:f>
        <x:v>1</x:v>
      </x:c>
      <x:c r="G25" s="69" t="n">
        <x:f>(2*((('01_Inputs'!$C$5)*('01_Inputs'!$C$10)))*((('01_Inputs'!$B$49)*('01_Inputs'!$C$49)+('01_Inputs'!$C$49)*('01_Inputs'!$D$49)))+((('01_Inputs'!$C$5)*('01_Inputs'!$C$10)))*(('01_Inputs'!$C$39)*('01_Inputs'!$C$49)+('01_Inputs'!$C$40)*('01_Inputs'!$D$49)))</x:f>
        <x:v>8591245312</x:v>
      </x:c>
      <x:c r="H25" s="69" t="n">
        <x:f>(((((('01_Inputs'!$C$5)*('01_Inputs'!$C$10)))*('01_Inputs'!$B$49)*('01_Inputs'!$C$16)))+('01_Inputs'!$C$5)*((('01_Inputs'!$B$49)*('01_Inputs'!$C$49)+('01_Inputs'!$C$49)*('01_Inputs'!$D$49)))*('01_Inputs'!$C$37)*('01_Inputs'!$H$49))</x:f>
        <x:v>4295229440</x:v>
      </x:c>
      <x:c r="I25" s="69" t="n">
        <x:f>0</x:f>
        <x:v>0</x:v>
      </x:c>
      <x:c r="J25" s="69" t="n">
        <x:f>(((('01_Inputs'!$C$5)*('01_Inputs'!$C$10)))*('01_Inputs'!$D$49)*('01_Inputs'!$C$16))</x:f>
        <x:v>262144</x:v>
      </x:c>
      <x:c r="K25" s="69" t="n">
        <x:f>(1)*((((((('01_Inputs'!$C$5)*('01_Inputs'!$C$10)))*('01_Inputs'!$B$49)*('01_Inputs'!$C$16)))+('01_Inputs'!$C$5)*((('01_Inputs'!$B$49)*('01_Inputs'!$C$49)+('01_Inputs'!$C$49)*('01_Inputs'!$D$49)))*('01_Inputs'!$C$37)*('01_Inputs'!$H$49)))</x:f>
        <x:v>4295229440</x:v>
      </x:c>
      <x:c r="L25" s="69" t="n">
        <x:f>(1)*((0)+((((('01_Inputs'!$C$5)*('01_Inputs'!$C$10)))*('01_Inputs'!$D$49)*('01_Inputs'!$C$16))))</x:f>
        <x:v>262144</x:v>
      </x:c>
      <x:c r="M25" s="69" t="n">
        <x:f>(('01_Inputs'!$C$5)*((('01_Inputs'!$B$49)*('01_Inputs'!$C$49)+('01_Inputs'!$C$49)*('01_Inputs'!$D$49)))*(('01_Inputs'!$C$37)+('01_Inputs'!$F$49)*('01_Inputs'!$C$38)))</x:f>
        <x:v>21474836480</x:v>
      </x:c>
      <x:c r="N25" s="66" t="n">
        <x:f>IF(((1)*(((((((('01_Inputs'!$C$5)*('01_Inputs'!$C$10)))*('01_Inputs'!$B$49)*('01_Inputs'!$C$16)))+('01_Inputs'!$C$5)*((('01_Inputs'!$B$49)*('01_Inputs'!$C$49)+('01_Inputs'!$C$49)*('01_Inputs'!$D$49)))*('01_Inputs'!$C$37)*('01_Inputs'!$H$49)))+(0)+((((('01_Inputs'!$C$5)*('01_Inputs'!$C$10)))*('01_Inputs'!$D$49)*('01_Inputs'!$C$16)))))=0,"",((1)*((2*((('01_Inputs'!$C$5)*('01_Inputs'!$C$10)))*((('01_Inputs'!$B$49)*('01_Inputs'!$C$49)+('01_Inputs'!$C$49)*('01_Inputs'!$D$49)))+((('01_Inputs'!$C$5)*('01_Inputs'!$C$10)))*(('01_Inputs'!$C$39)*('01_Inputs'!$C$49)+('01_Inputs'!$C$40)*('01_Inputs'!$D$49)))))/(((1)*(((((((('01_Inputs'!$C$5)*('01_Inputs'!$C$10)))*('01_Inputs'!$B$49)*('01_Inputs'!$C$16)))+('01_Inputs'!$C$5)*((('01_Inputs'!$B$49)*('01_Inputs'!$C$49)+('01_Inputs'!$C$49)*('01_Inputs'!$D$49)))*('01_Inputs'!$C$37)*('01_Inputs'!$H$49)))+(0)+((((('01_Inputs'!$C$5)*('01_Inputs'!$C$10)))*('01_Inputs'!$D$49)*('01_Inputs'!$C$16)))))))</x:f>
        <x:v>2.000061027706579</x:v>
      </x:c>
      <x:c r="O25" s="66" t="n">
        <x:f>((1)*((2*((('01_Inputs'!$C$5)*('01_Inputs'!$C$10)))*((('01_Inputs'!$B$49)*('01_Inputs'!$C$49)+('01_Inputs'!$C$49)*('01_Inputs'!$D$49)))+((('01_Inputs'!$C$5)*('01_Inputs'!$C$10)))*(('01_Inputs'!$C$39)*('01_Inputs'!$C$49)+('01_Inputs'!$C$40)*('01_Inputs'!$D$49))))/(('01_Inputs'!$C$33)*('02_HW'!$C$6))*('02_HW'!$C$10))</x:f>
        <x:v>0.001861995082791504</x:v>
      </x:c>
      <x:c r="P25" s="66" t="n">
        <x:f>((1)*(((((((('01_Inputs'!$C$5)*('01_Inputs'!$C$10)))*('01_Inputs'!$B$49)*('01_Inputs'!$C$16)))+('01_Inputs'!$C$5)*((('01_Inputs'!$B$49)*('01_Inputs'!$C$49)+('01_Inputs'!$C$49)*('01_Inputs'!$D$49)))*('01_Inputs'!$C$37)*('01_Inputs'!$H$49)))+(0)+((((('01_Inputs'!$C$5)*('01_Inputs'!$C$10)))*('01_Inputs'!$D$49)*('01_Inputs'!$C$16))))/(('01_Inputs'!$C$34)*('02_HW'!$C$7))*('02_HW'!$C$10))</x:f>
        <x:v>0.5804718356756756</x:v>
      </x:c>
      <x:c r="Q25" s="66" t="n">
        <x:f>(MAX(((1)*((2*((('01_Inputs'!$C$5)*('01_Inputs'!$C$10)))*((('01_Inputs'!$B$49)*('01_Inputs'!$C$49)+('01_Inputs'!$C$49)*('01_Inputs'!$D$49)))+((('01_Inputs'!$C$5)*('01_Inputs'!$C$10)))*(('01_Inputs'!$C$39)*('01_Inputs'!$C$49)+('01_Inputs'!$C$40)*('01_Inputs'!$D$49))))/(('01_Inputs'!$C$33)*('02_HW'!$C$6))*('02_HW'!$C$10)),((1)*(((((((('01_Inputs'!$C$5)*('01_Inputs'!$C$10)))*('01_Inputs'!$B$49)*('01_Inputs'!$C$16)))+('01_Inputs'!$C$5)*((('01_Inputs'!$B$49)*('01_Inputs'!$C$49)+('01_Inputs'!$C$49)*('01_Inputs'!$D$49)))*('01_Inputs'!$C$37)*('01_Inputs'!$H$49)))+(0)+((((('01_Inputs'!$C$5)*('01_Inputs'!$C$10)))*('01_Inputs'!$D$49)*('01_Inputs'!$C$16))))/(('01_Inputs'!$C$34)*('02_HW'!$C$7))*('02_HW'!$C$10)))+(1)*('02_HW'!$C$9)*('02_HW'!$C$10))</x:f>
        <x:v>0.5804718356756756</x:v>
      </x:c>
      <x:c r="R25" s="21" t="str">
        <x:f>IF(O25&gt;P25,"compute",IF(P25&gt;O25,"memory","balanced"))</x:f>
        <x:v>memory</x:v>
      </x:c>
      <x:c r="S25" s="24" t="str">
        <x:v>Auxiliary self-target/loss preparation; not a direct block forward output.</x:v>
      </x:c>
    </x:row>
    <x:row r="26">
      <x:c r="A26" s="21" t="n">
        <x:f>ROW()-11</x:f>
        <x:v>15</x:v>
      </x:c>
      <x:c r="B26" s="21" t="str">
        <x:v>decode</x:v>
      </x:c>
      <x:c r="C26" s="21" t="str">
        <x:v>loss</x:v>
      </x:c>
      <x:c r="D26" s="21" t="str">
        <x:v>M_v_prediction_forward</x:v>
      </x:c>
      <x:c r="E26" s="24" t="str">
        <x:v>Ffwd(N)</x:v>
      </x:c>
      <x:c r="F26" s="66" t="n">
        <x:f>1</x:f>
        <x:v>1</x:v>
      </x:c>
      <x:c r="G26" s="69" t="n">
        <x:f>(2*((('01_Inputs'!$C$5)*('01_Inputs'!$C$10)))*((('01_Inputs'!$B$49)*('01_Inputs'!$C$49)+('01_Inputs'!$C$49)*('01_Inputs'!$D$49)))+((('01_Inputs'!$C$5)*('01_Inputs'!$C$10)))*(('01_Inputs'!$C$39)*('01_Inputs'!$C$49)+('01_Inputs'!$C$40)*('01_Inputs'!$D$49)))</x:f>
        <x:v>8591245312</x:v>
      </x:c>
      <x:c r="H26" s="69" t="n">
        <x:f>(((('01_Inputs'!$C$5)*('01_Inputs'!$C$10)))*('01_Inputs'!$B$49)*('01_Inputs'!$C$16))</x:f>
        <x:v>262144</x:v>
      </x:c>
      <x:c r="I26" s="69" t="n">
        <x:f>0</x:f>
        <x:v>0</x:v>
      </x:c>
      <x:c r="J26" s="69" t="n">
        <x:f>(((('01_Inputs'!$C$5)*('01_Inputs'!$C$10)))*('01_Inputs'!$D$49)*('01_Inputs'!$C$16))</x:f>
        <x:v>262144</x:v>
      </x:c>
      <x:c r="K26" s="69" t="n">
        <x:f>(1)*((((('01_Inputs'!$C$5)*('01_Inputs'!$C$10)))*('01_Inputs'!$B$49)*('01_Inputs'!$C$16)))</x:f>
        <x:v>262144</x:v>
      </x:c>
      <x:c r="L26" s="69" t="n">
        <x:f>(1)*((0)+((((('01_Inputs'!$C$5)*('01_Inputs'!$C$10)))*('01_Inputs'!$D$49)*('01_Inputs'!$C$16))))</x:f>
        <x:v>262144</x:v>
      </x:c>
      <x:c r="M26" s="69" t="n">
        <x:f>0</x:f>
        <x:v>0</x:v>
      </x:c>
      <x:c r="N26" s="66" t="n">
        <x:f>IF(((1)*(((((('01_Inputs'!$C$5)*('01_Inputs'!$C$10)))*('01_Inputs'!$B$49)*('01_Inputs'!$C$16)))+(0)+((((('01_Inputs'!$C$5)*('01_Inputs'!$C$10)))*('01_Inputs'!$D$49)*('01_Inputs'!$C$16)))))=0,"",((1)*((2*((('01_Inputs'!$C$5)*('01_Inputs'!$C$10)))*((('01_Inputs'!$B$49)*('01_Inputs'!$C$49)+('01_Inputs'!$C$49)*('01_Inputs'!$D$49)))+((('01_Inputs'!$C$5)*('01_Inputs'!$C$10)))*(('01_Inputs'!$C$39)*('01_Inputs'!$C$49)+('01_Inputs'!$C$40)*('01_Inputs'!$D$49)))))/(((1)*(((((('01_Inputs'!$C$5)*('01_Inputs'!$C$10)))*('01_Inputs'!$B$49)*('01_Inputs'!$C$16)))+(0)+((((('01_Inputs'!$C$5)*('01_Inputs'!$C$10)))*('01_Inputs'!$D$49)*('01_Inputs'!$C$16)))))))</x:f>
        <x:v>16386.5</x:v>
      </x:c>
      <x:c r="O26" s="66" t="n">
        <x:f>((1)*((2*((('01_Inputs'!$C$5)*('01_Inputs'!$C$10)))*((('01_Inputs'!$B$49)*('01_Inputs'!$C$49)+('01_Inputs'!$C$49)*('01_Inputs'!$D$49)))+((('01_Inputs'!$C$5)*('01_Inputs'!$C$10)))*(('01_Inputs'!$C$39)*('01_Inputs'!$C$49)+('01_Inputs'!$C$40)*('01_Inputs'!$D$49))))/(('01_Inputs'!$C$33)*('02_HW'!$C$6))*('02_HW'!$C$10))</x:f>
        <x:v>0.001861995082791504</x:v>
      </x:c>
      <x:c r="P26" s="66" t="n">
        <x:f>((1)*(((((('01_Inputs'!$C$5)*('01_Inputs'!$C$10)))*('01_Inputs'!$B$49)*('01_Inputs'!$C$16)))+(0)+((((('01_Inputs'!$C$5)*('01_Inputs'!$C$10)))*('01_Inputs'!$D$49)*('01_Inputs'!$C$16))))/(('01_Inputs'!$C$34)*('02_HW'!$C$7))*('02_HW'!$C$10))</x:f>
        <x:v>0.00007084972972972974</x:v>
      </x:c>
      <x:c r="Q26" s="66" t="n">
        <x:f>(MAX(((1)*((2*((('01_Inputs'!$C$5)*('01_Inputs'!$C$10)))*((('01_Inputs'!$B$49)*('01_Inputs'!$C$49)+('01_Inputs'!$C$49)*('01_Inputs'!$D$49)))+((('01_Inputs'!$C$5)*('01_Inputs'!$C$10)))*(('01_Inputs'!$C$39)*('01_Inputs'!$C$49)+('01_Inputs'!$C$40)*('01_Inputs'!$D$49))))/(('01_Inputs'!$C$33)*('02_HW'!$C$6))*('02_HW'!$C$10)),((1)*(((((('01_Inputs'!$C$5)*('01_Inputs'!$C$10)))*('01_Inputs'!$B$49)*('01_Inputs'!$C$16)))+(0)+((((('01_Inputs'!$C$5)*('01_Inputs'!$C$10)))*('01_Inputs'!$D$49)*('01_Inputs'!$C$16))))/(('01_Inputs'!$C$34)*('02_HW'!$C$7))*('02_HW'!$C$10)))+(1)*('02_HW'!$C$9)*('02_HW'!$C$10))</x:f>
        <x:v>0.001861995082791504</x:v>
      </x:c>
      <x:c r="R26" s="21" t="str">
        <x:f>IF(O26&gt;P26,"compute",IF(P26&gt;O26,"memory","balanced"))</x:f>
        <x:v>compute</x:v>
      </x:c>
      <x:c r="S26" s="24" t="str">
        <x:v>Prediction term for the inner loss.</x:v>
      </x:c>
    </x:row>
    <x:row r="27">
      <x:c r="A27" s="21" t="n">
        <x:f>ROW()-11</x:f>
        <x:v>16</x:v>
      </x:c>
      <x:c r="B27" s="21" t="str">
        <x:v>decode</x:v>
      </x:c>
      <x:c r="C27" s="21" t="str">
        <x:v>loss</x:v>
      </x:c>
      <x:c r="D27" s="21" t="str">
        <x:v>M_eta_target_forward</x:v>
      </x:c>
      <x:c r="E27" s="24" t="str">
        <x:v>Ffwd(N)</x:v>
      </x:c>
      <x:c r="F27" s="66" t="n">
        <x:f>1</x:f>
        <x:v>1</x:v>
      </x:c>
      <x:c r="G27" s="69" t="n">
        <x:f>(2*((('01_Inputs'!$C$5)*('01_Inputs'!$C$10)))*((('01_Inputs'!$B$50)*('01_Inputs'!$C$50)+('01_Inputs'!$C$50)*('01_Inputs'!$D$50)))+((('01_Inputs'!$C$5)*('01_Inputs'!$C$10)))*(('01_Inputs'!$C$39)*('01_Inputs'!$C$50)+('01_Inputs'!$C$40)*('01_Inputs'!$D$50)))</x:f>
        <x:v>4296540192</x:v>
      </x:c>
      <x:c r="H27" s="69" t="n">
        <x:f>(((((('01_Inputs'!$C$5)*('01_Inputs'!$C$10)))*('01_Inputs'!$B$50)*('01_Inputs'!$C$16)))+('01_Inputs'!$C$5)*((('01_Inputs'!$B$50)*('01_Inputs'!$C$50)+('01_Inputs'!$C$50)*('01_Inputs'!$D$50)))*('01_Inputs'!$C$37)*('01_Inputs'!$H$50))</x:f>
        <x:v>2148007936</x:v>
      </x:c>
      <x:c r="I27" s="69" t="n">
        <x:f>0</x:f>
        <x:v>0</x:v>
      </x:c>
      <x:c r="J27" s="69" t="n">
        <x:f>(((('01_Inputs'!$C$5)*('01_Inputs'!$C$10)))*('01_Inputs'!$D$50)*('01_Inputs'!$C$16))</x:f>
        <x:v>32</x:v>
      </x:c>
      <x:c r="K27" s="69" t="n">
        <x:f>(1)*((((((('01_Inputs'!$C$5)*('01_Inputs'!$C$10)))*('01_Inputs'!$B$50)*('01_Inputs'!$C$16)))+('01_Inputs'!$C$5)*((('01_Inputs'!$B$50)*('01_Inputs'!$C$50)+('01_Inputs'!$C$50)*('01_Inputs'!$D$50)))*('01_Inputs'!$C$37)*('01_Inputs'!$H$50)))</x:f>
        <x:v>2148007936</x:v>
      </x:c>
      <x:c r="L27" s="69" t="n">
        <x:f>(1)*((0)+((((('01_Inputs'!$C$5)*('01_Inputs'!$C$10)))*('01_Inputs'!$D$50)*('01_Inputs'!$C$16))))</x:f>
        <x:v>32</x:v>
      </x:c>
      <x:c r="M27" s="69" t="n">
        <x:f>(('01_Inputs'!$C$5)*((('01_Inputs'!$B$50)*('01_Inputs'!$C$50)+('01_Inputs'!$C$50)*('01_Inputs'!$D$50)))*(('01_Inputs'!$C$37)+('01_Inputs'!$F$50)*('01_Inputs'!$C$38)))</x:f>
        <x:v>10738728960</x:v>
      </x:c>
      <x:c r="N27" s="66" t="n">
        <x:f>IF(((1)*(((((((('01_Inputs'!$C$5)*('01_Inputs'!$C$10)))*('01_Inputs'!$B$50)*('01_Inputs'!$C$16)))+('01_Inputs'!$C$5)*((('01_Inputs'!$B$50)*('01_Inputs'!$C$50)+('01_Inputs'!$C$50)*('01_Inputs'!$D$50)))*('01_Inputs'!$C$37)*('01_Inputs'!$H$50)))+(0)+((((('01_Inputs'!$C$5)*('01_Inputs'!$C$10)))*('01_Inputs'!$D$50)*('01_Inputs'!$C$16)))))=0,"",((1)*((2*((('01_Inputs'!$C$5)*('01_Inputs'!$C$10)))*((('01_Inputs'!$B$50)*('01_Inputs'!$C$50)+('01_Inputs'!$C$50)*('01_Inputs'!$D$50)))+((('01_Inputs'!$C$5)*('01_Inputs'!$C$10)))*(('01_Inputs'!$C$39)*('01_Inputs'!$C$50)+('01_Inputs'!$C$40)*('01_Inputs'!$D$50)))))/(((1)*(((((((('01_Inputs'!$C$5)*('01_Inputs'!$C$10)))*('01_Inputs'!$B$50)*('01_Inputs'!$C$16)))+('01_Inputs'!$C$5)*((('01_Inputs'!$B$50)*('01_Inputs'!$C$50)+('01_Inputs'!$C$50)*('01_Inputs'!$D$50)))*('01_Inputs'!$C$37)*('01_Inputs'!$H$50)))+(0)+((((('01_Inputs'!$C$5)*('01_Inputs'!$C$10)))*('01_Inputs'!$D$50)*('01_Inputs'!$C$16)))))))</x:f>
        <x:v>2.0002440661337437</x:v>
      </x:c>
      <x:c r="O27" s="66" t="n">
        <x:f>((1)*((2*((('01_Inputs'!$C$5)*('01_Inputs'!$C$10)))*((('01_Inputs'!$B$50)*('01_Inputs'!$C$50)+('01_Inputs'!$C$50)*('01_Inputs'!$D$50)))+((('01_Inputs'!$C$5)*('01_Inputs'!$C$10)))*(('01_Inputs'!$C$39)*('01_Inputs'!$C$50)+('01_Inputs'!$C$40)*('01_Inputs'!$D$50))))/(('01_Inputs'!$C$33)*('02_HW'!$C$6))*('02_HW'!$C$10))</x:f>
        <x:v>0.0009311964005201561</x:v>
      </x:c>
      <x:c r="P27" s="66" t="n">
        <x:f>((1)*(((((((('01_Inputs'!$C$5)*('01_Inputs'!$C$10)))*('01_Inputs'!$B$50)*('01_Inputs'!$C$16)))+('01_Inputs'!$C$5)*((('01_Inputs'!$B$50)*('01_Inputs'!$C$50)+('01_Inputs'!$C$50)*('01_Inputs'!$D$50)))*('01_Inputs'!$C$37)*('01_Inputs'!$H$50)))+(0)+((((('01_Inputs'!$C$5)*('01_Inputs'!$C$10)))*('01_Inputs'!$D$50)*('01_Inputs'!$C$16))))/(('01_Inputs'!$C$34)*('02_HW'!$C$7))*('02_HW'!$C$10))</x:f>
        <x:v>0.290271347027027</x:v>
      </x:c>
      <x:c r="Q27" s="66" t="n">
        <x:f>(MAX(((1)*((2*((('01_Inputs'!$C$5)*('01_Inputs'!$C$10)))*((('01_Inputs'!$B$50)*('01_Inputs'!$C$50)+('01_Inputs'!$C$50)*('01_Inputs'!$D$50)))+((('01_Inputs'!$C$5)*('01_Inputs'!$C$10)))*(('01_Inputs'!$C$39)*('01_Inputs'!$C$50)+('01_Inputs'!$C$40)*('01_Inputs'!$D$50))))/(('01_Inputs'!$C$33)*('02_HW'!$C$6))*('02_HW'!$C$10)),((1)*(((((((('01_Inputs'!$C$5)*('01_Inputs'!$C$10)))*('01_Inputs'!$B$50)*('01_Inputs'!$C$16)))+('01_Inputs'!$C$5)*((('01_Inputs'!$B$50)*('01_Inputs'!$C$50)+('01_Inputs'!$C$50)*('01_Inputs'!$D$50)))*('01_Inputs'!$C$37)*('01_Inputs'!$H$50)))+(0)+((((('01_Inputs'!$C$5)*('01_Inputs'!$C$10)))*('01_Inputs'!$D$50)*('01_Inputs'!$C$16))))/(('01_Inputs'!$C$34)*('02_HW'!$C$7))*('02_HW'!$C$10)))+(1)*('02_HW'!$C$9)*('02_HW'!$C$10))</x:f>
        <x:v>0.290271347027027</x:v>
      </x:c>
      <x:c r="R27" s="21" t="str">
        <x:f>IF(O27&gt;P27,"compute",IF(P27&gt;O27,"memory","balanced"))</x:f>
        <x:v>memory</x:v>
      </x:c>
      <x:c r="S27" s="24" t="str">
        <x:v>Auxiliary self-target/loss preparation; not a direct block forward output.</x:v>
      </x:c>
    </x:row>
    <x:row r="28">
      <x:c r="A28" s="21" t="n">
        <x:f>ROW()-11</x:f>
        <x:v>17</x:v>
      </x:c>
      <x:c r="B28" s="21" t="str">
        <x:v>decode</x:v>
      </x:c>
      <x:c r="C28" s="21" t="str">
        <x:v>loss</x:v>
      </x:c>
      <x:c r="D28" s="21" t="str">
        <x:v>M_eta_prediction_forward</x:v>
      </x:c>
      <x:c r="E28" s="24" t="str">
        <x:v>Ffwd(N)</x:v>
      </x:c>
      <x:c r="F28" s="66" t="n">
        <x:f>1</x:f>
        <x:v>1</x:v>
      </x:c>
      <x:c r="G28" s="69" t="n">
        <x:f>(2*((('01_Inputs'!$C$5)*('01_Inputs'!$C$10)))*((('01_Inputs'!$B$50)*('01_Inputs'!$C$50)+('01_Inputs'!$C$50)*('01_Inputs'!$D$50)))+((('01_Inputs'!$C$5)*('01_Inputs'!$C$10)))*(('01_Inputs'!$C$39)*('01_Inputs'!$C$50)+('01_Inputs'!$C$40)*('01_Inputs'!$D$50)))</x:f>
        <x:v>4296540192</x:v>
      </x:c>
      <x:c r="H28" s="69" t="n">
        <x:f>(((('01_Inputs'!$C$5)*('01_Inputs'!$C$10)))*('01_Inputs'!$B$50)*('01_Inputs'!$C$16))</x:f>
        <x:v>262144</x:v>
      </x:c>
      <x:c r="I28" s="69" t="n">
        <x:f>0</x:f>
        <x:v>0</x:v>
      </x:c>
      <x:c r="J28" s="69" t="n">
        <x:f>(((('01_Inputs'!$C$5)*('01_Inputs'!$C$10)))*('01_Inputs'!$D$50)*('01_Inputs'!$C$16))</x:f>
        <x:v>32</x:v>
      </x:c>
      <x:c r="K28" s="69" t="n">
        <x:f>(1)*((((('01_Inputs'!$C$5)*('01_Inputs'!$C$10)))*('01_Inputs'!$B$50)*('01_Inputs'!$C$16)))</x:f>
        <x:v>262144</x:v>
      </x:c>
      <x:c r="L28" s="69" t="n">
        <x:f>(1)*((0)+((((('01_Inputs'!$C$5)*('01_Inputs'!$C$10)))*('01_Inputs'!$D$50)*('01_Inputs'!$C$16))))</x:f>
        <x:v>32</x:v>
      </x:c>
      <x:c r="M28" s="69" t="n">
        <x:f>0</x:f>
        <x:v>0</x:v>
      </x:c>
      <x:c r="N28" s="66" t="n">
        <x:f>IF(((1)*(((((('01_Inputs'!$C$5)*('01_Inputs'!$C$10)))*('01_Inputs'!$B$50)*('01_Inputs'!$C$16)))+(0)+((((('01_Inputs'!$C$5)*('01_Inputs'!$C$10)))*('01_Inputs'!$D$50)*('01_Inputs'!$C$16)))))=0,"",((1)*((2*((('01_Inputs'!$C$5)*('01_Inputs'!$C$10)))*((('01_Inputs'!$B$50)*('01_Inputs'!$C$50)+('01_Inputs'!$C$50)*('01_Inputs'!$D$50)))+((('01_Inputs'!$C$5)*('01_Inputs'!$C$10)))*(('01_Inputs'!$C$39)*('01_Inputs'!$C$50)+('01_Inputs'!$C$40)*('01_Inputs'!$D$50)))))/(((1)*(((((('01_Inputs'!$C$5)*('01_Inputs'!$C$10)))*('01_Inputs'!$B$50)*('01_Inputs'!$C$16)))+(0)+((((('01_Inputs'!$C$5)*('01_Inputs'!$C$10)))*('01_Inputs'!$D$50)*('01_Inputs'!$C$16)))))))</x:f>
        <x:v>16387.999633833762</x:v>
      </x:c>
      <x:c r="O28" s="66" t="n">
        <x:f>((1)*((2*((('01_Inputs'!$C$5)*('01_Inputs'!$C$10)))*((('01_Inputs'!$B$50)*('01_Inputs'!$C$50)+('01_Inputs'!$C$50)*('01_Inputs'!$D$50)))+((('01_Inputs'!$C$5)*('01_Inputs'!$C$10)))*(('01_Inputs'!$C$39)*('01_Inputs'!$C$50)+('01_Inputs'!$C$40)*('01_Inputs'!$D$50))))/(('01_Inputs'!$C$33)*('02_HW'!$C$6))*('02_HW'!$C$10))</x:f>
        <x:v>0.0009311964005201561</x:v>
      </x:c>
      <x:c r="P28" s="66" t="n">
        <x:f>((1)*(((((('01_Inputs'!$C$5)*('01_Inputs'!$C$10)))*('01_Inputs'!$B$50)*('01_Inputs'!$C$16)))+(0)+((((('01_Inputs'!$C$5)*('01_Inputs'!$C$10)))*('01_Inputs'!$D$50)*('01_Inputs'!$C$16))))/(('01_Inputs'!$C$34)*('02_HW'!$C$7))*('02_HW'!$C$10))</x:f>
        <x:v>0.000035429189189189186</x:v>
      </x:c>
      <x:c r="Q28" s="66" t="n">
        <x:f>(MAX(((1)*((2*((('01_Inputs'!$C$5)*('01_Inputs'!$C$10)))*((('01_Inputs'!$B$50)*('01_Inputs'!$C$50)+('01_Inputs'!$C$50)*('01_Inputs'!$D$50)))+((('01_Inputs'!$C$5)*('01_Inputs'!$C$10)))*(('01_Inputs'!$C$39)*('01_Inputs'!$C$50)+('01_Inputs'!$C$40)*('01_Inputs'!$D$50))))/(('01_Inputs'!$C$33)*('02_HW'!$C$6))*('02_HW'!$C$10)),((1)*(((((('01_Inputs'!$C$5)*('01_Inputs'!$C$10)))*('01_Inputs'!$B$50)*('01_Inputs'!$C$16)))+(0)+((((('01_Inputs'!$C$5)*('01_Inputs'!$C$10)))*('01_Inputs'!$D$50)*('01_Inputs'!$C$16))))/(('01_Inputs'!$C$34)*('02_HW'!$C$7))*('02_HW'!$C$10)))+(1)*('02_HW'!$C$9)*('02_HW'!$C$10))</x:f>
        <x:v>0.0009311964005201561</x:v>
      </x:c>
      <x:c r="R28" s="21" t="str">
        <x:f>IF(O28&gt;P28,"compute",IF(P28&gt;O28,"memory","balanced"))</x:f>
        <x:v>compute</x:v>
      </x:c>
      <x:c r="S28" s="24" t="str">
        <x:v>Prediction term for the inner loss.</x:v>
      </x:c>
    </x:row>
    <x:row r="29">
      <x:c r="A29" s="21" t="n">
        <x:f>ROW()-11</x:f>
        <x:v>18</x:v>
      </x:c>
      <x:c r="B29" s="21" t="str">
        <x:v>decode</x:v>
      </x:c>
      <x:c r="C29" s="21" t="str">
        <x:v>loss</x:v>
      </x:c>
      <x:c r="D29" s="21" t="str">
        <x:v>M_alpha_target_forward</x:v>
      </x:c>
      <x:c r="E29" s="24" t="str">
        <x:v>Ffwd(N)</x:v>
      </x:c>
      <x:c r="F29" s="66" t="n">
        <x:f>1</x:f>
        <x:v>1</x:v>
      </x:c>
      <x:c r="G29" s="69" t="n">
        <x:f>(2*((('01_Inputs'!$C$5)*('01_Inputs'!$C$10)))*((('01_Inputs'!$B$51)*('01_Inputs'!$C$51)+('01_Inputs'!$C$51)*('01_Inputs'!$D$51)))+((('01_Inputs'!$C$5)*('01_Inputs'!$C$10)))*(('01_Inputs'!$C$39)*('01_Inputs'!$C$51)+('01_Inputs'!$C$40)*('01_Inputs'!$D$51)))</x:f>
        <x:v>4296540192</x:v>
      </x:c>
      <x:c r="H29" s="69" t="n">
        <x:f>(((((('01_Inputs'!$C$5)*('01_Inputs'!$C$10)))*('01_Inputs'!$B$51)*('01_Inputs'!$C$16)))+('01_Inputs'!$C$5)*((('01_Inputs'!$B$51)*('01_Inputs'!$C$51)+('01_Inputs'!$C$51)*('01_Inputs'!$D$51)))*('01_Inputs'!$C$37)*('01_Inputs'!$H$51))</x:f>
        <x:v>2148007936</x:v>
      </x:c>
      <x:c r="I29" s="69" t="n">
        <x:f>0</x:f>
        <x:v>0</x:v>
      </x:c>
      <x:c r="J29" s="69" t="n">
        <x:f>(((('01_Inputs'!$C$5)*('01_Inputs'!$C$10)))*('01_Inputs'!$D$51)*('01_Inputs'!$C$16))</x:f>
        <x:v>32</x:v>
      </x:c>
      <x:c r="K29" s="69" t="n">
        <x:f>(1)*((((((('01_Inputs'!$C$5)*('01_Inputs'!$C$10)))*('01_Inputs'!$B$51)*('01_Inputs'!$C$16)))+('01_Inputs'!$C$5)*((('01_Inputs'!$B$51)*('01_Inputs'!$C$51)+('01_Inputs'!$C$51)*('01_Inputs'!$D$51)))*('01_Inputs'!$C$37)*('01_Inputs'!$H$51)))</x:f>
        <x:v>2148007936</x:v>
      </x:c>
      <x:c r="L29" s="69" t="n">
        <x:f>(1)*((0)+((((('01_Inputs'!$C$5)*('01_Inputs'!$C$10)))*('01_Inputs'!$D$51)*('01_Inputs'!$C$16))))</x:f>
        <x:v>32</x:v>
      </x:c>
      <x:c r="M29" s="69" t="n">
        <x:f>(('01_Inputs'!$C$5)*((('01_Inputs'!$B$51)*('01_Inputs'!$C$51)+('01_Inputs'!$C$51)*('01_Inputs'!$D$51)))*(('01_Inputs'!$C$37)+('01_Inputs'!$F$51)*('01_Inputs'!$C$38)))</x:f>
        <x:v>10738728960</x:v>
      </x:c>
      <x:c r="N29" s="66" t="n">
        <x:f>IF(((1)*(((((((('01_Inputs'!$C$5)*('01_Inputs'!$C$10)))*('01_Inputs'!$B$51)*('01_Inputs'!$C$16)))+('01_Inputs'!$C$5)*((('01_Inputs'!$B$51)*('01_Inputs'!$C$51)+('01_Inputs'!$C$51)*('01_Inputs'!$D$51)))*('01_Inputs'!$C$37)*('01_Inputs'!$H$51)))+(0)+((((('01_Inputs'!$C$5)*('01_Inputs'!$C$10)))*('01_Inputs'!$D$51)*('01_Inputs'!$C$16)))))=0,"",((1)*((2*((('01_Inputs'!$C$5)*('01_Inputs'!$C$10)))*((('01_Inputs'!$B$51)*('01_Inputs'!$C$51)+('01_Inputs'!$C$51)*('01_Inputs'!$D$51)))+((('01_Inputs'!$C$5)*('01_Inputs'!$C$10)))*(('01_Inputs'!$C$39)*('01_Inputs'!$C$51)+('01_Inputs'!$C$40)*('01_Inputs'!$D$51)))))/(((1)*(((((((('01_Inputs'!$C$5)*('01_Inputs'!$C$10)))*('01_Inputs'!$B$51)*('01_Inputs'!$C$16)))+('01_Inputs'!$C$5)*((('01_Inputs'!$B$51)*('01_Inputs'!$C$51)+('01_Inputs'!$C$51)*('01_Inputs'!$D$51)))*('01_Inputs'!$C$37)*('01_Inputs'!$H$51)))+(0)+((((('01_Inputs'!$C$5)*('01_Inputs'!$C$10)))*('01_Inputs'!$D$51)*('01_Inputs'!$C$16)))))))</x:f>
        <x:v>2.0002440661337437</x:v>
      </x:c>
      <x:c r="O29" s="66" t="n">
        <x:f>((1)*((2*((('01_Inputs'!$C$5)*('01_Inputs'!$C$10)))*((('01_Inputs'!$B$51)*('01_Inputs'!$C$51)+('01_Inputs'!$C$51)*('01_Inputs'!$D$51)))+((('01_Inputs'!$C$5)*('01_Inputs'!$C$10)))*(('01_Inputs'!$C$39)*('01_Inputs'!$C$51)+('01_Inputs'!$C$40)*('01_Inputs'!$D$51))))/(('01_Inputs'!$C$33)*('02_HW'!$C$6))*('02_HW'!$C$10))</x:f>
        <x:v>0.0009311964005201561</x:v>
      </x:c>
      <x:c r="P29" s="66" t="n">
        <x:f>((1)*(((((((('01_Inputs'!$C$5)*('01_Inputs'!$C$10)))*('01_Inputs'!$B$51)*('01_Inputs'!$C$16)))+('01_Inputs'!$C$5)*((('01_Inputs'!$B$51)*('01_Inputs'!$C$51)+('01_Inputs'!$C$51)*('01_Inputs'!$D$51)))*('01_Inputs'!$C$37)*('01_Inputs'!$H$51)))+(0)+((((('01_Inputs'!$C$5)*('01_Inputs'!$C$10)))*('01_Inputs'!$D$51)*('01_Inputs'!$C$16))))/(('01_Inputs'!$C$34)*('02_HW'!$C$7))*('02_HW'!$C$10))</x:f>
        <x:v>0.290271347027027</x:v>
      </x:c>
      <x:c r="Q29" s="66" t="n">
        <x:f>(MAX(((1)*((2*((('01_Inputs'!$C$5)*('01_Inputs'!$C$10)))*((('01_Inputs'!$B$51)*('01_Inputs'!$C$51)+('01_Inputs'!$C$51)*('01_Inputs'!$D$51)))+((('01_Inputs'!$C$5)*('01_Inputs'!$C$10)))*(('01_Inputs'!$C$39)*('01_Inputs'!$C$51)+('01_Inputs'!$C$40)*('01_Inputs'!$D$51))))/(('01_Inputs'!$C$33)*('02_HW'!$C$6))*('02_HW'!$C$10)),((1)*(((((((('01_Inputs'!$C$5)*('01_Inputs'!$C$10)))*('01_Inputs'!$B$51)*('01_Inputs'!$C$16)))+('01_Inputs'!$C$5)*((('01_Inputs'!$B$51)*('01_Inputs'!$C$51)+('01_Inputs'!$C$51)*('01_Inputs'!$D$51)))*('01_Inputs'!$C$37)*('01_Inputs'!$H$51)))+(0)+((((('01_Inputs'!$C$5)*('01_Inputs'!$C$10)))*('01_Inputs'!$D$51)*('01_Inputs'!$C$16))))/(('01_Inputs'!$C$34)*('02_HW'!$C$7))*('02_HW'!$C$10)))+(1)*('02_HW'!$C$9)*('02_HW'!$C$10))</x:f>
        <x:v>0.290271347027027</x:v>
      </x:c>
      <x:c r="R29" s="21" t="str">
        <x:f>IF(O29&gt;P29,"compute",IF(P29&gt;O29,"memory","balanced"))</x:f>
        <x:v>memory</x:v>
      </x:c>
      <x:c r="S29" s="24" t="str">
        <x:v>Auxiliary self-target/loss preparation; not a direct block forward output.</x:v>
      </x:c>
    </x:row>
    <x:row r="30">
      <x:c r="A30" s="21" t="n">
        <x:f>ROW()-11</x:f>
        <x:v>19</x:v>
      </x:c>
      <x:c r="B30" s="21" t="str">
        <x:v>decode</x:v>
      </x:c>
      <x:c r="C30" s="21" t="str">
        <x:v>loss</x:v>
      </x:c>
      <x:c r="D30" s="21" t="str">
        <x:v>M_alpha_prediction_forward</x:v>
      </x:c>
      <x:c r="E30" s="24" t="str">
        <x:v>Ffwd(N)</x:v>
      </x:c>
      <x:c r="F30" s="66" t="n">
        <x:f>1</x:f>
        <x:v>1</x:v>
      </x:c>
      <x:c r="G30" s="69" t="n">
        <x:f>(2*((('01_Inputs'!$C$5)*('01_Inputs'!$C$10)))*((('01_Inputs'!$B$51)*('01_Inputs'!$C$51)+('01_Inputs'!$C$51)*('01_Inputs'!$D$51)))+((('01_Inputs'!$C$5)*('01_Inputs'!$C$10)))*(('01_Inputs'!$C$39)*('01_Inputs'!$C$51)+('01_Inputs'!$C$40)*('01_Inputs'!$D$51)))</x:f>
        <x:v>4296540192</x:v>
      </x:c>
      <x:c r="H30" s="69" t="n">
        <x:f>(((('01_Inputs'!$C$5)*('01_Inputs'!$C$10)))*('01_Inputs'!$B$51)*('01_Inputs'!$C$16))</x:f>
        <x:v>262144</x:v>
      </x:c>
      <x:c r="I30" s="69" t="n">
        <x:f>0</x:f>
        <x:v>0</x:v>
      </x:c>
      <x:c r="J30" s="69" t="n">
        <x:f>(((('01_Inputs'!$C$5)*('01_Inputs'!$C$10)))*('01_Inputs'!$D$51)*('01_Inputs'!$C$16))</x:f>
        <x:v>32</x:v>
      </x:c>
      <x:c r="K30" s="69" t="n">
        <x:f>(1)*((((('01_Inputs'!$C$5)*('01_Inputs'!$C$10)))*('01_Inputs'!$B$51)*('01_Inputs'!$C$16)))</x:f>
        <x:v>262144</x:v>
      </x:c>
      <x:c r="L30" s="69" t="n">
        <x:f>(1)*((0)+((((('01_Inputs'!$C$5)*('01_Inputs'!$C$10)))*('01_Inputs'!$D$51)*('01_Inputs'!$C$16))))</x:f>
        <x:v>32</x:v>
      </x:c>
      <x:c r="M30" s="69" t="n">
        <x:f>0</x:f>
        <x:v>0</x:v>
      </x:c>
      <x:c r="N30" s="66" t="n">
        <x:f>IF(((1)*(((((('01_Inputs'!$C$5)*('01_Inputs'!$C$10)))*('01_Inputs'!$B$51)*('01_Inputs'!$C$16)))+(0)+((((('01_Inputs'!$C$5)*('01_Inputs'!$C$10)))*('01_Inputs'!$D$51)*('01_Inputs'!$C$16)))))=0,"",((1)*((2*((('01_Inputs'!$C$5)*('01_Inputs'!$C$10)))*((('01_Inputs'!$B$51)*('01_Inputs'!$C$51)+('01_Inputs'!$C$51)*('01_Inputs'!$D$51)))+((('01_Inputs'!$C$5)*('01_Inputs'!$C$10)))*(('01_Inputs'!$C$39)*('01_Inputs'!$C$51)+('01_Inputs'!$C$40)*('01_Inputs'!$D$51)))))/(((1)*(((((('01_Inputs'!$C$5)*('01_Inputs'!$C$10)))*('01_Inputs'!$B$51)*('01_Inputs'!$C$16)))+(0)+((((('01_Inputs'!$C$5)*('01_Inputs'!$C$10)))*('01_Inputs'!$D$51)*('01_Inputs'!$C$16)))))))</x:f>
        <x:v>16387.999633833762</x:v>
      </x:c>
      <x:c r="O30" s="66" t="n">
        <x:f>((1)*((2*((('01_Inputs'!$C$5)*('01_Inputs'!$C$10)))*((('01_Inputs'!$B$51)*('01_Inputs'!$C$51)+('01_Inputs'!$C$51)*('01_Inputs'!$D$51)))+((('01_Inputs'!$C$5)*('01_Inputs'!$C$10)))*(('01_Inputs'!$C$39)*('01_Inputs'!$C$51)+('01_Inputs'!$C$40)*('01_Inputs'!$D$51))))/(('01_Inputs'!$C$33)*('02_HW'!$C$6))*('02_HW'!$C$10))</x:f>
        <x:v>0.0009311964005201561</x:v>
      </x:c>
      <x:c r="P30" s="66" t="n">
        <x:f>((1)*(((((('01_Inputs'!$C$5)*('01_Inputs'!$C$10)))*('01_Inputs'!$B$51)*('01_Inputs'!$C$16)))+(0)+((((('01_Inputs'!$C$5)*('01_Inputs'!$C$10)))*('01_Inputs'!$D$51)*('01_Inputs'!$C$16))))/(('01_Inputs'!$C$34)*('02_HW'!$C$7))*('02_HW'!$C$10))</x:f>
        <x:v>0.000035429189189189186</x:v>
      </x:c>
      <x:c r="Q30" s="66" t="n">
        <x:f>(MAX(((1)*((2*((('01_Inputs'!$C$5)*('01_Inputs'!$C$10)))*((('01_Inputs'!$B$51)*('01_Inputs'!$C$51)+('01_Inputs'!$C$51)*('01_Inputs'!$D$51)))+((('01_Inputs'!$C$5)*('01_Inputs'!$C$10)))*(('01_Inputs'!$C$39)*('01_Inputs'!$C$51)+('01_Inputs'!$C$40)*('01_Inputs'!$D$51))))/(('01_Inputs'!$C$33)*('02_HW'!$C$6))*('02_HW'!$C$10)),((1)*(((((('01_Inputs'!$C$5)*('01_Inputs'!$C$10)))*('01_Inputs'!$B$51)*('01_Inputs'!$C$16)))+(0)+((((('01_Inputs'!$C$5)*('01_Inputs'!$C$10)))*('01_Inputs'!$D$51)*('01_Inputs'!$C$16))))/(('01_Inputs'!$C$34)*('02_HW'!$C$7))*('02_HW'!$C$10)))+(1)*('02_HW'!$C$9)*('02_HW'!$C$10))</x:f>
        <x:v>0.0009311964005201561</x:v>
      </x:c>
      <x:c r="R30" s="21" t="str">
        <x:f>IF(O30&gt;P30,"compute",IF(P30&gt;O30,"memory","balanced"))</x:f>
        <x:v>compute</x:v>
      </x:c>
      <x:c r="S30" s="24" t="str">
        <x:v>Prediction term for the inner loss.</x:v>
      </x:c>
    </x:row>
    <x:row r="31">
      <x:c r="A31" s="21" t="n">
        <x:f>ROW()-11</x:f>
        <x:v>20</x:v>
      </x:c>
      <x:c r="B31" s="21" t="str">
        <x:v>decode</x:v>
      </x:c>
      <x:c r="C31" s="21" t="str">
        <x:v>loss</x:v>
      </x:c>
      <x:c r="D31" s="21" t="str">
        <x:v>M_mem_target_forward</x:v>
      </x:c>
      <x:c r="E31" s="24" t="str">
        <x:v>Ffwd(N)</x:v>
      </x:c>
      <x:c r="F31" s="66" t="n">
        <x:f>1</x:f>
        <x:v>1</x:v>
      </x:c>
      <x:c r="G31" s="69" t="n">
        <x:f>(2*((('01_Inputs'!$C$5)*('01_Inputs'!$C$10)))*((('01_Inputs'!$B$52)*('01_Inputs'!$C$52)+('01_Inputs'!$C$52)*('01_Inputs'!$D$52)))+((('01_Inputs'!$C$5)*('01_Inputs'!$C$10)))*(('01_Inputs'!$C$39)*('01_Inputs'!$C$52)+('01_Inputs'!$C$40)*('01_Inputs'!$D$52)))</x:f>
        <x:v>8591245312</x:v>
      </x:c>
      <x:c r="H31" s="69" t="n">
        <x:f>(((((('01_Inputs'!$C$5)*('01_Inputs'!$C$10)))*('01_Inputs'!$B$52)*('01_Inputs'!$C$16)))+('01_Inputs'!$C$5)*((('01_Inputs'!$B$52)*('01_Inputs'!$C$52)+('01_Inputs'!$C$52)*('01_Inputs'!$D$52)))*('01_Inputs'!$C$37)*('01_Inputs'!$H$52))</x:f>
        <x:v>4295229440</x:v>
      </x:c>
      <x:c r="I31" s="69" t="n">
        <x:f>0</x:f>
        <x:v>0</x:v>
      </x:c>
      <x:c r="J31" s="69" t="n">
        <x:f>(((('01_Inputs'!$C$5)*('01_Inputs'!$C$10)))*('01_Inputs'!$D$52)*('01_Inputs'!$C$16))</x:f>
        <x:v>262144</x:v>
      </x:c>
      <x:c r="K31" s="69" t="n">
        <x:f>(1)*((((((('01_Inputs'!$C$5)*('01_Inputs'!$C$10)))*('01_Inputs'!$B$52)*('01_Inputs'!$C$16)))+('01_Inputs'!$C$5)*((('01_Inputs'!$B$52)*('01_Inputs'!$C$52)+('01_Inputs'!$C$52)*('01_Inputs'!$D$52)))*('01_Inputs'!$C$37)*('01_Inputs'!$H$52)))</x:f>
        <x:v>4295229440</x:v>
      </x:c>
      <x:c r="L31" s="69" t="n">
        <x:f>(1)*((0)+((((('01_Inputs'!$C$5)*('01_Inputs'!$C$10)))*('01_Inputs'!$D$52)*('01_Inputs'!$C$16))))</x:f>
        <x:v>262144</x:v>
      </x:c>
      <x:c r="M31" s="69" t="n">
        <x:f>0</x:f>
        <x:v>0</x:v>
      </x:c>
      <x:c r="N31" s="66" t="n">
        <x:f>IF(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)=0,"",((1)*((2*((('01_Inputs'!$C$5)*('01_Inputs'!$C$10)))*((('01_Inputs'!$B$52)*('01_Inputs'!$C$52)+('01_Inputs'!$C$52)*('01_Inputs'!$D$52)))+((('01_Inputs'!$C$5)*('01_Inputs'!$C$10)))*(('01_Inputs'!$C$39)*('01_Inputs'!$C$52)+('01_Inputs'!$C$40)*('01_Inputs'!$D$52)))))/(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)))</x:f>
        <x:v>2.000061027706579</x:v>
      </x:c>
      <x:c r="O31" s="66" t="n">
        <x:f>((1)*((2*((('01_Inputs'!$C$5)*('01_Inputs'!$C$10)))*((('01_Inputs'!$B$52)*('01_Inputs'!$C$52)+('01_Inputs'!$C$52)*('01_Inputs'!$D$52)))+((('01_Inputs'!$C$5)*('01_Inputs'!$C$10)))*(('01_Inputs'!$C$39)*('01_Inputs'!$C$52)+('01_Inputs'!$C$40)*('01_Inputs'!$D$52))))/(('01_Inputs'!$C$33)*('02_HW'!$C$6))*('02_HW'!$C$10))</x:f>
        <x:v>0.001861995082791504</x:v>
      </x:c>
      <x:c r="P31" s="66" t="n">
        <x:f>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/(('01_Inputs'!$C$34)*('02_HW'!$C$7))*('02_HW'!$C$10))</x:f>
        <x:v>0.5804718356756756</x:v>
      </x:c>
      <x:c r="Q31" s="66" t="n">
        <x:f>(MAX(((1)*((2*((('01_Inputs'!$C$5)*('01_Inputs'!$C$10)))*((('01_Inputs'!$B$52)*('01_Inputs'!$C$52)+('01_Inputs'!$C$52)*('01_Inputs'!$D$52)))+((('01_Inputs'!$C$5)*('01_Inputs'!$C$10)))*(('01_Inputs'!$C$39)*('01_Inputs'!$C$52)+('01_Inputs'!$C$40)*('01_Inputs'!$D$52))))/(('01_Inputs'!$C$33)*('02_HW'!$C$6))*('02_HW'!$C$10)),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/(('01_Inputs'!$C$34)*('02_HW'!$C$7))*('02_HW'!$C$10)))+(1)*('02_HW'!$C$9)*('02_HW'!$C$10))</x:f>
        <x:v>0.5804718356756756</x:v>
      </x:c>
      <x:c r="R31" s="21" t="str">
        <x:f>IF(O31&gt;P31,"compute",IF(P31&gt;O31,"memory","balanced"))</x:f>
        <x:v>memory</x:v>
      </x:c>
      <x:c r="S31" s="24" t="str">
        <x:v>Auxiliary self-target/loss preparation; not a direct block forward output.</x:v>
      </x:c>
    </x:row>
    <x:row r="32">
      <x:c r="A32" s="21" t="n">
        <x:f>ROW()-11</x:f>
        <x:v>21</x:v>
      </x:c>
      <x:c r="B32" s="21" t="str">
        <x:v>decode</x:v>
      </x:c>
      <x:c r="C32" s="21" t="str">
        <x:v>loss</x:v>
      </x:c>
      <x:c r="D32" s="21" t="str">
        <x:v>M_mem_prediction_forward</x:v>
      </x:c>
      <x:c r="E32" s="24" t="str">
        <x:v>Ffwd(N)</x:v>
      </x:c>
      <x:c r="F32" s="66" t="n">
        <x:f>1</x:f>
        <x:v>1</x:v>
      </x:c>
      <x:c r="G32" s="69" t="n">
        <x:f>(2*((('01_Inputs'!$C$5)*('01_Inputs'!$C$10)))*((('01_Inputs'!$B$52)*('01_Inputs'!$C$52)+('01_Inputs'!$C$52)*('01_Inputs'!$D$52)))+((('01_Inputs'!$C$5)*('01_Inputs'!$C$10)))*(('01_Inputs'!$C$39)*('01_Inputs'!$C$52)+('01_Inputs'!$C$40)*('01_Inputs'!$D$52)))</x:f>
        <x:v>8591245312</x:v>
      </x:c>
      <x:c r="H32" s="69" t="n">
        <x:f>(((('01_Inputs'!$C$5)*('01_Inputs'!$C$10)))*('01_Inputs'!$B$52)*('01_Inputs'!$C$16))</x:f>
        <x:v>262144</x:v>
      </x:c>
      <x:c r="I32" s="69" t="n">
        <x:f>0</x:f>
        <x:v>0</x:v>
      </x:c>
      <x:c r="J32" s="69" t="n">
        <x:f>(((('01_Inputs'!$C$5)*('01_Inputs'!$C$10)))*('01_Inputs'!$D$52)*('01_Inputs'!$C$16))</x:f>
        <x:v>262144</x:v>
      </x:c>
      <x:c r="K32" s="69" t="n">
        <x:f>(1)*((((('01_Inputs'!$C$5)*('01_Inputs'!$C$10)))*('01_Inputs'!$B$52)*('01_Inputs'!$C$16)))</x:f>
        <x:v>262144</x:v>
      </x:c>
      <x:c r="L32" s="69" t="n">
        <x:f>(1)*((0)+((((('01_Inputs'!$C$5)*('01_Inputs'!$C$10)))*('01_Inputs'!$D$52)*('01_Inputs'!$C$16))))</x:f>
        <x:v>262144</x:v>
      </x:c>
      <x:c r="M32" s="69" t="n">
        <x:f>0</x:f>
        <x:v>0</x:v>
      </x:c>
      <x:c r="N32" s="66" t="n">
        <x:f>IF(((1)*(((((('01_Inputs'!$C$5)*('01_Inputs'!$C$10)))*('01_Inputs'!$B$52)*('01_Inputs'!$C$16)))+(0)+((((('01_Inputs'!$C$5)*('01_Inputs'!$C$10)))*('01_Inputs'!$D$52)*('01_Inputs'!$C$16)))))=0,"",((1)*((2*((('01_Inputs'!$C$5)*('01_Inputs'!$C$10)))*((('01_Inputs'!$B$52)*('01_Inputs'!$C$52)+('01_Inputs'!$C$52)*('01_Inputs'!$D$52)))+((('01_Inputs'!$C$5)*('01_Inputs'!$C$10)))*(('01_Inputs'!$C$39)*('01_Inputs'!$C$52)+('01_Inputs'!$C$40)*('01_Inputs'!$D$52)))))/(((1)*(((((('01_Inputs'!$C$5)*('01_Inputs'!$C$10)))*('01_Inputs'!$B$52)*('01_Inputs'!$C$16)))+(0)+((((('01_Inputs'!$C$5)*('01_Inputs'!$C$10)))*('01_Inputs'!$D$52)*('01_Inputs'!$C$16)))))))</x:f>
        <x:v>16386.5</x:v>
      </x:c>
      <x:c r="O32" s="66" t="n">
        <x:f>((1)*((2*((('01_Inputs'!$C$5)*('01_Inputs'!$C$10)))*((('01_Inputs'!$B$52)*('01_Inputs'!$C$52)+('01_Inputs'!$C$52)*('01_Inputs'!$D$52)))+((('01_Inputs'!$C$5)*('01_Inputs'!$C$10)))*(('01_Inputs'!$C$39)*('01_Inputs'!$C$52)+('01_Inputs'!$C$40)*('01_Inputs'!$D$52))))/(('01_Inputs'!$C$33)*('02_HW'!$C$6))*('02_HW'!$C$10))</x:f>
        <x:v>0.001861995082791504</x:v>
      </x:c>
      <x:c r="P32" s="66" t="n">
        <x:f>((1)*(((((('01_Inputs'!$C$5)*('01_Inputs'!$C$10)))*('01_Inputs'!$B$52)*('01_Inputs'!$C$16)))+(0)+((((('01_Inputs'!$C$5)*('01_Inputs'!$C$10)))*('01_Inputs'!$D$52)*('01_Inputs'!$C$16))))/(('01_Inputs'!$C$34)*('02_HW'!$C$7))*('02_HW'!$C$10))</x:f>
        <x:v>0.00007084972972972974</x:v>
      </x:c>
      <x:c r="Q32" s="66" t="n">
        <x:f>(MAX(((1)*((2*((('01_Inputs'!$C$5)*('01_Inputs'!$C$10)))*((('01_Inputs'!$B$52)*('01_Inputs'!$C$52)+('01_Inputs'!$C$52)*('01_Inputs'!$D$52)))+((('01_Inputs'!$C$5)*('01_Inputs'!$C$10)))*(('01_Inputs'!$C$39)*('01_Inputs'!$C$52)+('01_Inputs'!$C$40)*('01_Inputs'!$D$52))))/(('01_Inputs'!$C$33)*('02_HW'!$C$6))*('02_HW'!$C$10)),((1)*(((((('01_Inputs'!$C$5)*('01_Inputs'!$C$10)))*('01_Inputs'!$B$52)*('01_Inputs'!$C$16)))+(0)+((((('01_Inputs'!$C$5)*('01_Inputs'!$C$10)))*('01_Inputs'!$D$52)*('01_Inputs'!$C$16))))/(('01_Inputs'!$C$34)*('02_HW'!$C$7))*('02_HW'!$C$10)))+(1)*('02_HW'!$C$9)*('02_HW'!$C$10))</x:f>
        <x:v>0.001861995082791504</x:v>
      </x:c>
      <x:c r="R32" s="21" t="str">
        <x:f>IF(O32&gt;P32,"compute",IF(P32&gt;O32,"memory","balanced"))</x:f>
        <x:v>compute</x:v>
      </x:c>
      <x:c r="S32" s="24" t="str">
        <x:v>Prediction term for the inner loss.</x:v>
      </x:c>
    </x:row>
    <x:row r="33">
      <x:c r="A33" s="21" t="n">
        <x:f>ROW()-11</x:f>
        <x:v>22</x:v>
      </x:c>
      <x:c r="B33" s="21" t="str">
        <x:v>decode</x:v>
      </x:c>
      <x:c r="C33" s="21" t="str">
        <x:v>backward_update</x:v>
      </x:c>
      <x:c r="D33" s="21" t="str">
        <x:v>M_k_weight_backward</x:v>
      </x:c>
      <x:c r="E33" s="24" t="str">
        <x:v>2NIH + 4NHO</x:v>
      </x:c>
      <x:c r="F33" s="66" t="n">
        <x:f>1</x:f>
        <x:v>1</x:v>
      </x:c>
      <x:c r="G33" s="69" t="n">
        <x:f>(2*((('01_Inputs'!$C$5)*('01_Inputs'!$C$10)))*('01_Inputs'!$B$48)*('01_Inputs'!$C$48)+4*((('01_Inputs'!$C$5)*('01_Inputs'!$C$10)))*('01_Inputs'!$C$48)*('01_Inputs'!$D$48))</x:f>
        <x:v>12884901888</x:v>
      </x:c>
      <x:c r="H33" s="69" t="n">
        <x:f>(((('01_Inputs'!$C$5)*('01_Inputs'!$C$10)))*(('01_Inputs'!$B$48)+('01_Inputs'!$C$48)+('01_Inputs'!$D$48))*('01_Inputs'!$C$16))</x:f>
        <x:v>786432</x:v>
      </x:c>
      <x:c r="I33" s="69" t="n">
        <x:f>0</x:f>
        <x:v>0</x:v>
      </x:c>
      <x:c r="J33" s="69" t="n">
        <x:f>(('01_Inputs'!$C$5)*((('01_Inputs'!$B$48)*('01_Inputs'!$C$48)+('01_Inputs'!$C$48)*('01_Inputs'!$D$48)))*('01_Inputs'!$C$38))</x:f>
        <x:v>17179869184</x:v>
      </x:c>
      <x:c r="K33" s="69" t="n">
        <x:f>(1)*((((('01_Inputs'!$C$5)*('01_Inputs'!$C$10)))*(('01_Inputs'!$B$48)+('01_Inputs'!$C$48)+('01_Inputs'!$D$48))*('01_Inputs'!$C$16)))</x:f>
        <x:v>786432</x:v>
      </x:c>
      <x:c r="L33" s="69" t="n">
        <x:f>(1)*((0)+((('01_Inputs'!$C$5)*((('01_Inputs'!$B$48)*('01_Inputs'!$C$48)+('01_Inputs'!$C$48)*('01_Inputs'!$D$48)))*('01_Inputs'!$C$38))))</x:f>
        <x:v>17179869184</x:v>
      </x:c>
      <x:c r="M33" s="69" t="n">
        <x:f>0</x:f>
        <x:v>0</x:v>
      </x:c>
      <x:c r="N33" s="66" t="n">
        <x:f>IF(((1)*(((((('01_Inputs'!$C$5)*('01_Inputs'!$C$10)))*(('01_Inputs'!$B$48)+('01_Inputs'!$C$48)+('01_Inputs'!$D$48))*('01_Inputs'!$C$16)))+(0)+((('01_Inputs'!$C$5)*((('01_Inputs'!$B$48)*('01_Inputs'!$C$48)+('01_Inputs'!$C$48)*('01_Inputs'!$D$48)))*('01_Inputs'!$C$38)))))=0,"",((1)*((2*((('01_Inputs'!$C$5)*('01_Inputs'!$C$10)))*('01_Inputs'!$B$48)*('01_Inputs'!$C$48)+4*((('01_Inputs'!$C$5)*('01_Inputs'!$C$10)))*('01_Inputs'!$C$48)*('01_Inputs'!$D$48))))/(((1)*(((((('01_Inputs'!$C$5)*('01_Inputs'!$C$10)))*(('01_Inputs'!$B$48)+('01_Inputs'!$C$48)+('01_Inputs'!$D$48))*('01_Inputs'!$C$16)))+(0)+((('01_Inputs'!$C$5)*((('01_Inputs'!$B$48)*('01_Inputs'!$C$48)+('01_Inputs'!$C$48)*('01_Inputs'!$D$48)))*('01_Inputs'!$C$38)))))))</x:f>
        <x:v>0.7499656692961443</x:v>
      </x:c>
      <x:c r="O33" s="66" t="n">
        <x:f>((1)*((2*((('01_Inputs'!$C$5)*('01_Inputs'!$C$10)))*('01_Inputs'!$B$48)*('01_Inputs'!$C$48)+4*((('01_Inputs'!$C$5)*('01_Inputs'!$C$10)))*('01_Inputs'!$C$48)*('01_Inputs'!$D$48)))/(('01_Inputs'!$C$33)*('02_HW'!$C$6))*('02_HW'!$C$10))</x:f>
        <x:v>0.002792566512353706</x:v>
      </x:c>
      <x:c r="P33" s="66" t="n">
        <x:f>((1)*(((((('01_Inputs'!$C$5)*('01_Inputs'!$C$10)))*(('01_Inputs'!$B$48)+('01_Inputs'!$C$48)+('01_Inputs'!$D$48))*('01_Inputs'!$C$16)))+(0)+((('01_Inputs'!$C$5)*((('01_Inputs'!$B$48)*('01_Inputs'!$C$48)+('01_Inputs'!$C$48)*('01_Inputs'!$D$48)))*('01_Inputs'!$C$38))))/(('01_Inputs'!$C$34)*('02_HW'!$C$7))*('02_HW'!$C$10))</x:f>
        <x:v>2.3217102183783784</x:v>
      </x:c>
      <x:c r="Q33" s="66" t="n">
        <x:f>(MAX(((1)*((2*((('01_Inputs'!$C$5)*('01_Inputs'!$C$10)))*('01_Inputs'!$B$48)*('01_Inputs'!$C$48)+4*((('01_Inputs'!$C$5)*('01_Inputs'!$C$10)))*('01_Inputs'!$C$48)*('01_Inputs'!$D$48)))/(('01_Inputs'!$C$33)*('02_HW'!$C$6))*('02_HW'!$C$10)),((1)*(((((('01_Inputs'!$C$5)*('01_Inputs'!$C$10)))*(('01_Inputs'!$B$48)+('01_Inputs'!$C$48)+('01_Inputs'!$D$48))*('01_Inputs'!$C$16)))+(0)+((('01_Inputs'!$C$5)*((('01_Inputs'!$B$48)*('01_Inputs'!$C$48)+('01_Inputs'!$C$48)*('01_Inputs'!$D$48)))*('01_Inputs'!$C$38))))/(('01_Inputs'!$C$34)*('02_HW'!$C$7))*('02_HW'!$C$10)))+(1)*('02_HW'!$C$9)*('02_HW'!$C$10))</x:f>
        <x:v>2.3217102183783784</x:v>
      </x:c>
      <x:c r="R33" s="21" t="str">
        <x:f>IF(O33&gt;P33,"compute",IF(P33&gt;O33,"memory","balanced"))</x:f>
        <x:v>memory</x:v>
      </x:c>
      <x:c r="S33" s="24" t="str">
        <x:v>Weight-gradient backward; no input gradient.</x:v>
      </x:c>
    </x:row>
    <x:row r="34">
      <x:c r="A34" s="21" t="n">
        <x:f>ROW()-11</x:f>
        <x:v>23</x:v>
      </x:c>
      <x:c r="B34" s="21" t="str">
        <x:v>decode</x:v>
      </x:c>
      <x:c r="C34" s="21" t="str">
        <x:v>backward_update</x:v>
      </x:c>
      <x:c r="D34" s="21" t="str">
        <x:v>M_k_dgd_extra</x:v>
      </x:c>
      <x:c r="E34" s="24" t="str">
        <x:v>μFfwd − (2Ffwd+Fbwd)</x:v>
      </x:c>
      <x:c r="F34" s="66" t="n">
        <x:f>1</x:f>
        <x:v>1</x:v>
      </x:c>
      <x:c r="G34" s="69" t="n">
        <x:f>(('01_Inputs'!$G$48)*((2*((('01_Inputs'!$C$5)*('01_Inputs'!$C$10)))*((('01_Inputs'!$B$48)*('01_Inputs'!$C$48)+('01_Inputs'!$C$48)*('01_Inputs'!$D$48)))+((('01_Inputs'!$C$5)*('01_Inputs'!$C$10)))*(('01_Inputs'!$C$39)*('01_Inputs'!$C$48)+('01_Inputs'!$C$40)*('01_Inputs'!$D$48))))-(2*((2*((('01_Inputs'!$C$5)*('01_Inputs'!$C$10)))*((('01_Inputs'!$B$48)*('01_Inputs'!$C$48)+('01_Inputs'!$C$48)*('01_Inputs'!$D$48)))+((('01_Inputs'!$C$5)*('01_Inputs'!$C$10)))*(('01_Inputs'!$C$39)*('01_Inputs'!$C$48)+('01_Inputs'!$C$40)*('01_Inputs'!$D$48))))+((2*((('01_Inputs'!$C$5)*('01_Inputs'!$C$10)))*('01_Inputs'!$B$48)*('01_Inputs'!$C$48)+4*((('01_Inputs'!$C$5)*('01_Inputs'!$C$10)))*('01_Inputs'!$C$48)*('01_Inputs'!$D$48)))))</x:f>
        <x:v>4297588736</x:v>
      </x:c>
      <x:c r="H34" s="69" t="n">
        <x:f>(('01_Inputs'!$C$5)*((('01_Inputs'!$B$48)*('01_Inputs'!$C$48)+('01_Inputs'!$C$48)*('01_Inputs'!$D$48)))*('01_Inputs'!$C$38))</x:f>
        <x:v>17179869184</x:v>
      </x:c>
      <x:c r="I34" s="69" t="n">
        <x:f>0</x:f>
        <x:v>0</x:v>
      </x:c>
      <x:c r="J34" s="69" t="n">
        <x:f>(('01_Inputs'!$C$5)*((('01_Inputs'!$B$48)*('01_Inputs'!$C$48)+('01_Inputs'!$C$48)*('01_Inputs'!$D$48)))*('01_Inputs'!$C$38))</x:f>
        <x:v>17179869184</x:v>
      </x:c>
      <x:c r="K34" s="69" t="n">
        <x:f>(1)*((('01_Inputs'!$C$5)*((('01_Inputs'!$B$48)*('01_Inputs'!$C$48)+('01_Inputs'!$C$48)*('01_Inputs'!$D$48)))*('01_Inputs'!$C$38)))</x:f>
        <x:v>17179869184</x:v>
      </x:c>
      <x:c r="L34" s="69" t="n">
        <x:f>(1)*((0)+((('01_Inputs'!$C$5)*((('01_Inputs'!$B$48)*('01_Inputs'!$C$48)+('01_Inputs'!$C$48)*('01_Inputs'!$D$48)))*('01_Inputs'!$C$38))))</x:f>
        <x:v>17179869184</x:v>
      </x:c>
      <x:c r="M34" s="69" t="n">
        <x:f>0</x:f>
        <x:v>0</x:v>
      </x:c>
      <x:c r="N34" s="66" t="n">
        <x:f>IF(((1)*(((('01_Inputs'!$C$5)*((('01_Inputs'!$B$48)*('01_Inputs'!$C$48)+('01_Inputs'!$C$48)*('01_Inputs'!$D$48)))*('01_Inputs'!$C$38)))+(0)+((('01_Inputs'!$C$5)*((('01_Inputs'!$B$48)*('01_Inputs'!$C$48)+('01_Inputs'!$C$48)*('01_Inputs'!$D$48)))*('01_Inputs'!$C$38)))))=0,"",((1)*((('01_Inputs'!$G$48)*((2*((('01_Inputs'!$C$5)*('01_Inputs'!$C$10)))*((('01_Inputs'!$B$48)*('01_Inputs'!$C$48)+('01_Inputs'!$C$48)*('01_Inputs'!$D$48)))+((('01_Inputs'!$C$5)*('01_Inputs'!$C$10)))*(('01_Inputs'!$C$39)*('01_Inputs'!$C$48)+('01_Inputs'!$C$40)*('01_Inputs'!$D$48))))-(2*((2*((('01_Inputs'!$C$5)*('01_Inputs'!$C$10)))*((('01_Inputs'!$B$48)*('01_Inputs'!$C$48)+('01_Inputs'!$C$48)*('01_Inputs'!$D$48)))+((('01_Inputs'!$C$5)*('01_Inputs'!$C$10)))*(('01_Inputs'!$C$39)*('01_Inputs'!$C$48)+('01_Inputs'!$C$40)*('01_Inputs'!$D$48))))+((2*((('01_Inputs'!$C$5)*('01_Inputs'!$C$10)))*('01_Inputs'!$B$48)*('01_Inputs'!$C$48)+4*((('01_Inputs'!$C$5)*('01_Inputs'!$C$10)))*('01_Inputs'!$C$48)*('01_Inputs'!$D$48)))))))/(((1)*(((('01_Inputs'!$C$5)*((('01_Inputs'!$B$48)*('01_Inputs'!$C$48)+('01_Inputs'!$C$48)*('01_Inputs'!$D$48)))*('01_Inputs'!$C$38)))+(0)+((('01_Inputs'!$C$5)*((('01_Inputs'!$B$48)*('01_Inputs'!$C$48)+('01_Inputs'!$C$48)*('01_Inputs'!$D$48)))*('01_Inputs'!$C$38)))))))</x:f>
        <x:v>0.1250762939453125</x:v>
      </x:c>
      <x:c r="O34" s="66" t="n">
        <x:f>((1)*((('01_Inputs'!$G$48)*((2*((('01_Inputs'!$C$5)*('01_Inputs'!$C$10)))*((('01_Inputs'!$B$48)*('01_Inputs'!$C$48)+('01_Inputs'!$C$48)*('01_Inputs'!$D$48)))+((('01_Inputs'!$C$5)*('01_Inputs'!$C$10)))*(('01_Inputs'!$C$39)*('01_Inputs'!$C$48)+('01_Inputs'!$C$40)*('01_Inputs'!$D$48))))-(2*((2*((('01_Inputs'!$C$5)*('01_Inputs'!$C$10)))*((('01_Inputs'!$B$48)*('01_Inputs'!$C$48)+('01_Inputs'!$C$48)*('01_Inputs'!$D$48)))+((('01_Inputs'!$C$5)*('01_Inputs'!$C$10)))*(('01_Inputs'!$C$39)*('01_Inputs'!$C$48)+('01_Inputs'!$C$40)*('01_Inputs'!$D$48))))+((2*((('01_Inputs'!$C$5)*('01_Inputs'!$C$10)))*('01_Inputs'!$B$48)*('01_Inputs'!$C$48)+4*((('01_Inputs'!$C$5)*('01_Inputs'!$C$10)))*('01_Inputs'!$C$48)*('01_Inputs'!$D$48))))))/(('01_Inputs'!$C$33)*('02_HW'!$C$6))*('02_HW'!$C$10))</x:f>
        <x:v>0.0009314236532293022</x:v>
      </x:c>
      <x:c r="P34" s="66" t="n">
        <x:f>((1)*(((('01_Inputs'!$C$5)*((('01_Inputs'!$B$48)*('01_Inputs'!$C$48)+('01_Inputs'!$C$48)*('01_Inputs'!$D$48)))*('01_Inputs'!$C$38)))+(0)+((('01_Inputs'!$C$5)*((('01_Inputs'!$B$48)*('01_Inputs'!$C$48)+('01_Inputs'!$C$48)*('01_Inputs'!$D$48)))*('01_Inputs'!$C$38))))/(('01_Inputs'!$C$34)*('02_HW'!$C$7))*('02_HW'!$C$10))</x:f>
        <x:v>4.643207887567568</x:v>
      </x:c>
      <x:c r="Q34" s="66" t="n">
        <x:f>(MAX(((1)*((('01_Inputs'!$G$48)*((2*((('01_Inputs'!$C$5)*('01_Inputs'!$C$10)))*((('01_Inputs'!$B$48)*('01_Inputs'!$C$48)+('01_Inputs'!$C$48)*('01_Inputs'!$D$48)))+((('01_Inputs'!$C$5)*('01_Inputs'!$C$10)))*(('01_Inputs'!$C$39)*('01_Inputs'!$C$48)+('01_Inputs'!$C$40)*('01_Inputs'!$D$48))))-(2*((2*((('01_Inputs'!$C$5)*('01_Inputs'!$C$10)))*((('01_Inputs'!$B$48)*('01_Inputs'!$C$48)+('01_Inputs'!$C$48)*('01_Inputs'!$D$48)))+((('01_Inputs'!$C$5)*('01_Inputs'!$C$10)))*(('01_Inputs'!$C$39)*('01_Inputs'!$C$48)+('01_Inputs'!$C$40)*('01_Inputs'!$D$48))))+((2*((('01_Inputs'!$C$5)*('01_Inputs'!$C$10)))*('01_Inputs'!$B$48)*('01_Inputs'!$C$48)+4*((('01_Inputs'!$C$5)*('01_Inputs'!$C$10)))*('01_Inputs'!$C$48)*('01_Inputs'!$D$48))))))/(('01_Inputs'!$C$33)*('02_HW'!$C$6))*('02_HW'!$C$10)),((1)*(((('01_Inputs'!$C$5)*((('01_Inputs'!$B$48)*('01_Inputs'!$C$48)+('01_Inputs'!$C$48)*('01_Inputs'!$D$48)))*('01_Inputs'!$C$38)))+(0)+((('01_Inputs'!$C$5)*((('01_Inputs'!$B$48)*('01_Inputs'!$C$48)+('01_Inputs'!$C$48)*('01_Inputs'!$D$48)))*('01_Inputs'!$C$38))))/(('01_Inputs'!$C$34)*('02_HW'!$C$7))*('02_HW'!$C$10)))+(1)*('02_HW'!$C$9)*('02_HW'!$C$10))</x:f>
        <x:v>4.643207887567568</x:v>
      </x:c>
      <x:c r="R34" s="21" t="str">
        <x:f>IF(O34&gt;P34,"compute",IF(P34&gt;O34,"memory","balanced"))</x:f>
        <x:v>memory</x:v>
      </x:c>
      <x:c r="S34" s="24" t="str">
        <x:v>Residual DGD calibration after all loss terms.</x:v>
      </x:c>
    </x:row>
    <x:row r="35">
      <x:c r="A35" s="21" t="n">
        <x:f>ROW()-11</x:f>
        <x:v>24</x:v>
      </x:c>
      <x:c r="B35" s="21" t="str">
        <x:v>decode</x:v>
      </x:c>
      <x:c r="C35" s="21" t="str">
        <x:v>backward_update</x:v>
      </x:c>
      <x:c r="D35" s="21" t="str">
        <x:v>M_k_state_apply</x:v>
      </x:c>
      <x:c r="E35" s="24" t="str">
        <x:v>B(1+m)Pbs read + write</x:v>
      </x:c>
      <x:c r="F35" s="66" t="n">
        <x:f>(1/('01_Inputs'!$E$48))</x:f>
        <x:v>0.00048828125</x:v>
      </x:c>
      <x:c r="G35" s="69" t="n">
        <x:f>0</x:f>
        <x:v>0</x:v>
      </x:c>
      <x:c r="H35" s="69" t="n">
        <x:f>(('01_Inputs'!$C$5)*(1+('01_Inputs'!$F$48))*((('01_Inputs'!$B$48)*('01_Inputs'!$C$48)+('01_Inputs'!$C$48)*('01_Inputs'!$D$48)))*('01_Inputs'!$C$37))</x:f>
        <x:v>8589934592</x:v>
      </x:c>
      <x:c r="I35" s="69" t="n">
        <x:f>(('01_Inputs'!$C$5)*(1+('01_Inputs'!$F$48))*((('01_Inputs'!$B$48)*('01_Inputs'!$C$48)+('01_Inputs'!$C$48)*('01_Inputs'!$D$48)))*('01_Inputs'!$C$37))</x:f>
        <x:v>8589934592</x:v>
      </x:c>
      <x:c r="J35" s="69" t="n">
        <x:f>0</x:f>
        <x:v>0</x:v>
      </x:c>
      <x:c r="K35" s="69" t="n">
        <x:f>((1/('01_Inputs'!$E$48)))*((('01_Inputs'!$C$5)*(1+('01_Inputs'!$F$48))*((('01_Inputs'!$B$48)*('01_Inputs'!$C$48)+('01_Inputs'!$C$48)*('01_Inputs'!$D$48)))*('01_Inputs'!$C$37)))</x:f>
        <x:v>4194304</x:v>
      </x:c>
      <x:c r="L35" s="69" t="n">
        <x:f>((1/('01_Inputs'!$E$48)))*(((('01_Inputs'!$C$5)*(1+('01_Inputs'!$F$48))*((('01_Inputs'!$B$48)*('01_Inputs'!$C$48)+('01_Inputs'!$C$48)*('01_Inputs'!$D$48)))*('01_Inputs'!$C$37)))+(0))</x:f>
        <x:v>4194304</x:v>
      </x:c>
      <x:c r="M35" s="69" t="n">
        <x:f>0</x:f>
        <x:v>0</x:v>
      </x:c>
      <x:c r="N35" s="66" t="n">
        <x:f>IF((((1/('01_Inputs'!$E$48)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)=0,"",(((1/('01_Inputs'!$E$48)))*(0))/((((1/('01_Inputs'!$E$48)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)))</x:f>
        <x:v>0</x:v>
      </x:c>
      <x:c r="O35" s="66" t="n">
        <x:f>(((1/('01_Inputs'!$E$48)))*(0)/(('01_Inputs'!$C$33)*('02_HW'!$C$6))*('02_HW'!$C$10))</x:f>
        <x:v>0</x:v>
      </x:c>
      <x:c r="P35" s="66" t="n">
        <x:f>(((1/('01_Inputs'!$E$48)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/(('01_Inputs'!$C$34)*('02_HW'!$C$7))*('02_HW'!$C$10))</x:f>
        <x:v>0.0011335956756756758</x:v>
      </x:c>
      <x:c r="Q35" s="66" t="n">
        <x:f>(MAX((((1/('01_Inputs'!$E$48)))*(0)/(('01_Inputs'!$C$33)*('02_HW'!$C$6))*('02_HW'!$C$10)),(((1/('01_Inputs'!$E$48)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/(('01_Inputs'!$C$34)*('02_HW'!$C$7))*('02_HW'!$C$10)))+((1/('01_Inputs'!$E$48)))*('02_HW'!$C$9)*('02_HW'!$C$10))</x:f>
        <x:v>0.0011335956756756758</x:v>
      </x:c>
      <x:c r="R35" s="21" t="str">
        <x:f>IF(O35&gt;P35,"compute",IF(P35&gt;O35,"memory","balanced"))</x:f>
        <x:v>memory</x:v>
      </x:c>
      <x:c r="S35" s="24" t="str">
        <x:v>amortized decode state RMW.</x:v>
      </x:c>
    </x:row>
    <x:row r="36">
      <x:c r="A36" s="21" t="n">
        <x:f>ROW()-11</x:f>
        <x:v>25</x:v>
      </x:c>
      <x:c r="B36" s="21" t="str">
        <x:v>decode</x:v>
      </x:c>
      <x:c r="C36" s="21" t="str">
        <x:v>backward_update</x:v>
      </x:c>
      <x:c r="D36" s="21" t="str">
        <x:v>M_v_weight_backward</x:v>
      </x:c>
      <x:c r="E36" s="24" t="str">
        <x:v>2NIH + 4NHO</x:v>
      </x:c>
      <x:c r="F36" s="66" t="n">
        <x:f>1</x:f>
        <x:v>1</x:v>
      </x:c>
      <x:c r="G36" s="69" t="n">
        <x:f>(2*((('01_Inputs'!$C$5)*('01_Inputs'!$C$10)))*('01_Inputs'!$B$49)*('01_Inputs'!$C$49)+4*((('01_Inputs'!$C$5)*('01_Inputs'!$C$10)))*('01_Inputs'!$C$49)*('01_Inputs'!$D$49))</x:f>
        <x:v>12884901888</x:v>
      </x:c>
      <x:c r="H36" s="69" t="n">
        <x:f>(((('01_Inputs'!$C$5)*('01_Inputs'!$C$10)))*(('01_Inputs'!$B$49)+('01_Inputs'!$C$49)+('01_Inputs'!$D$49))*('01_Inputs'!$C$16))</x:f>
        <x:v>786432</x:v>
      </x:c>
      <x:c r="I36" s="69" t="n">
        <x:f>0</x:f>
        <x:v>0</x:v>
      </x:c>
      <x:c r="J36" s="69" t="n">
        <x:f>(('01_Inputs'!$C$5)*((('01_Inputs'!$B$49)*('01_Inputs'!$C$49)+('01_Inputs'!$C$49)*('01_Inputs'!$D$49)))*('01_Inputs'!$C$38))</x:f>
        <x:v>17179869184</x:v>
      </x:c>
      <x:c r="K36" s="69" t="n">
        <x:f>(1)*((((('01_Inputs'!$C$5)*('01_Inputs'!$C$10)))*(('01_Inputs'!$B$49)+('01_Inputs'!$C$49)+('01_Inputs'!$D$49))*('01_Inputs'!$C$16)))</x:f>
        <x:v>786432</x:v>
      </x:c>
      <x:c r="L36" s="69" t="n">
        <x:f>(1)*((0)+((('01_Inputs'!$C$5)*((('01_Inputs'!$B$49)*('01_Inputs'!$C$49)+('01_Inputs'!$C$49)*('01_Inputs'!$D$49)))*('01_Inputs'!$C$38))))</x:f>
        <x:v>17179869184</x:v>
      </x:c>
      <x:c r="M36" s="69" t="n">
        <x:f>0</x:f>
        <x:v>0</x:v>
      </x:c>
      <x:c r="N36" s="66" t="n">
        <x:f>IF(((1)*(((((('01_Inputs'!$C$5)*('01_Inputs'!$C$10)))*(('01_Inputs'!$B$49)+('01_Inputs'!$C$49)+('01_Inputs'!$D$49))*('01_Inputs'!$C$16)))+(0)+((('01_Inputs'!$C$5)*((('01_Inputs'!$B$49)*('01_Inputs'!$C$49)+('01_Inputs'!$C$49)*('01_Inputs'!$D$49)))*('01_Inputs'!$C$38)))))=0,"",((1)*((2*((('01_Inputs'!$C$5)*('01_Inputs'!$C$10)))*('01_Inputs'!$B$49)*('01_Inputs'!$C$49)+4*((('01_Inputs'!$C$5)*('01_Inputs'!$C$10)))*('01_Inputs'!$C$49)*('01_Inputs'!$D$49))))/(((1)*(((((('01_Inputs'!$C$5)*('01_Inputs'!$C$10)))*(('01_Inputs'!$B$49)+('01_Inputs'!$C$49)+('01_Inputs'!$D$49))*('01_Inputs'!$C$16)))+(0)+((('01_Inputs'!$C$5)*((('01_Inputs'!$B$49)*('01_Inputs'!$C$49)+('01_Inputs'!$C$49)*('01_Inputs'!$D$49)))*('01_Inputs'!$C$38)))))))</x:f>
        <x:v>0.7499656692961443</x:v>
      </x:c>
      <x:c r="O36" s="66" t="n">
        <x:f>((1)*((2*((('01_Inputs'!$C$5)*('01_Inputs'!$C$10)))*('01_Inputs'!$B$49)*('01_Inputs'!$C$49)+4*((('01_Inputs'!$C$5)*('01_Inputs'!$C$10)))*('01_Inputs'!$C$49)*('01_Inputs'!$D$49)))/(('01_Inputs'!$C$33)*('02_HW'!$C$6))*('02_HW'!$C$10))</x:f>
        <x:v>0.002792566512353706</x:v>
      </x:c>
      <x:c r="P36" s="66" t="n">
        <x:f>((1)*(((((('01_Inputs'!$C$5)*('01_Inputs'!$C$10)))*(('01_Inputs'!$B$49)+('01_Inputs'!$C$49)+('01_Inputs'!$D$49))*('01_Inputs'!$C$16)))+(0)+((('01_Inputs'!$C$5)*((('01_Inputs'!$B$49)*('01_Inputs'!$C$49)+('01_Inputs'!$C$49)*('01_Inputs'!$D$49)))*('01_Inputs'!$C$38))))/(('01_Inputs'!$C$34)*('02_HW'!$C$7))*('02_HW'!$C$10))</x:f>
        <x:v>2.3217102183783784</x:v>
      </x:c>
      <x:c r="Q36" s="66" t="n">
        <x:f>(MAX(((1)*((2*((('01_Inputs'!$C$5)*('01_Inputs'!$C$10)))*('01_Inputs'!$B$49)*('01_Inputs'!$C$49)+4*((('01_Inputs'!$C$5)*('01_Inputs'!$C$10)))*('01_Inputs'!$C$49)*('01_Inputs'!$D$49)))/(('01_Inputs'!$C$33)*('02_HW'!$C$6))*('02_HW'!$C$10)),((1)*(((((('01_Inputs'!$C$5)*('01_Inputs'!$C$10)))*(('01_Inputs'!$B$49)+('01_Inputs'!$C$49)+('01_Inputs'!$D$49))*('01_Inputs'!$C$16)))+(0)+((('01_Inputs'!$C$5)*((('01_Inputs'!$B$49)*('01_Inputs'!$C$49)+('01_Inputs'!$C$49)*('01_Inputs'!$D$49)))*('01_Inputs'!$C$38))))/(('01_Inputs'!$C$34)*('02_HW'!$C$7))*('02_HW'!$C$10)))+(1)*('02_HW'!$C$9)*('02_HW'!$C$10))</x:f>
        <x:v>2.3217102183783784</x:v>
      </x:c>
      <x:c r="R36" s="21" t="str">
        <x:f>IF(O36&gt;P36,"compute",IF(P36&gt;O36,"memory","balanced"))</x:f>
        <x:v>memory</x:v>
      </x:c>
      <x:c r="S36" s="24" t="str">
        <x:v>Weight-gradient backward; no input gradient.</x:v>
      </x:c>
    </x:row>
    <x:row r="37">
      <x:c r="A37" s="21" t="n">
        <x:f>ROW()-11</x:f>
        <x:v>26</x:v>
      </x:c>
      <x:c r="B37" s="21" t="str">
        <x:v>decode</x:v>
      </x:c>
      <x:c r="C37" s="21" t="str">
        <x:v>backward_update</x:v>
      </x:c>
      <x:c r="D37" s="21" t="str">
        <x:v>M_v_dgd_extra</x:v>
      </x:c>
      <x:c r="E37" s="24" t="str">
        <x:v>μFfwd − (2Ffwd+Fbwd)</x:v>
      </x:c>
      <x:c r="F37" s="66" t="n">
        <x:f>1</x:f>
        <x:v>1</x:v>
      </x:c>
      <x:c r="G37" s="69" t="n">
        <x:f>(('01_Inputs'!$G$49)*((2*((('01_Inputs'!$C$5)*('01_Inputs'!$C$10)))*((('01_Inputs'!$B$49)*('01_Inputs'!$C$49)+('01_Inputs'!$C$49)*('01_Inputs'!$D$49)))+((('01_Inputs'!$C$5)*('01_Inputs'!$C$10)))*(('01_Inputs'!$C$39)*('01_Inputs'!$C$49)+('01_Inputs'!$C$40)*('01_Inputs'!$D$49))))-(2*((2*((('01_Inputs'!$C$5)*('01_Inputs'!$C$10)))*((('01_Inputs'!$B$49)*('01_Inputs'!$C$49)+('01_Inputs'!$C$49)*('01_Inputs'!$D$49)))+((('01_Inputs'!$C$5)*('01_Inputs'!$C$10)))*(('01_Inputs'!$C$39)*('01_Inputs'!$C$49)+('01_Inputs'!$C$40)*('01_Inputs'!$D$49))))+((2*((('01_Inputs'!$C$5)*('01_Inputs'!$C$10)))*('01_Inputs'!$B$49)*('01_Inputs'!$C$49)+4*((('01_Inputs'!$C$5)*('01_Inputs'!$C$10)))*('01_Inputs'!$C$49)*('01_Inputs'!$D$49)))))</x:f>
        <x:v>4297588736</x:v>
      </x:c>
      <x:c r="H37" s="69" t="n">
        <x:f>(('01_Inputs'!$C$5)*((('01_Inputs'!$B$49)*('01_Inputs'!$C$49)+('01_Inputs'!$C$49)*('01_Inputs'!$D$49)))*('01_Inputs'!$C$38))</x:f>
        <x:v>17179869184</x:v>
      </x:c>
      <x:c r="I37" s="69" t="n">
        <x:f>0</x:f>
        <x:v>0</x:v>
      </x:c>
      <x:c r="J37" s="69" t="n">
        <x:f>(('01_Inputs'!$C$5)*((('01_Inputs'!$B$49)*('01_Inputs'!$C$49)+('01_Inputs'!$C$49)*('01_Inputs'!$D$49)))*('01_Inputs'!$C$38))</x:f>
        <x:v>17179869184</x:v>
      </x:c>
      <x:c r="K37" s="69" t="n">
        <x:f>(1)*((('01_Inputs'!$C$5)*((('01_Inputs'!$B$49)*('01_Inputs'!$C$49)+('01_Inputs'!$C$49)*('01_Inputs'!$D$49)))*('01_Inputs'!$C$38)))</x:f>
        <x:v>17179869184</x:v>
      </x:c>
      <x:c r="L37" s="69" t="n">
        <x:f>(1)*((0)+((('01_Inputs'!$C$5)*((('01_Inputs'!$B$49)*('01_Inputs'!$C$49)+('01_Inputs'!$C$49)*('01_Inputs'!$D$49)))*('01_Inputs'!$C$38))))</x:f>
        <x:v>17179869184</x:v>
      </x:c>
      <x:c r="M37" s="69" t="n">
        <x:f>0</x:f>
        <x:v>0</x:v>
      </x:c>
      <x:c r="N37" s="66" t="n">
        <x:f>IF(((1)*(((('01_Inputs'!$C$5)*((('01_Inputs'!$B$49)*('01_Inputs'!$C$49)+('01_Inputs'!$C$49)*('01_Inputs'!$D$49)))*('01_Inputs'!$C$38)))+(0)+((('01_Inputs'!$C$5)*((('01_Inputs'!$B$49)*('01_Inputs'!$C$49)+('01_Inputs'!$C$49)*('01_Inputs'!$D$49)))*('01_Inputs'!$C$38)))))=0,"",((1)*((('01_Inputs'!$G$49)*((2*((('01_Inputs'!$C$5)*('01_Inputs'!$C$10)))*((('01_Inputs'!$B$49)*('01_Inputs'!$C$49)+('01_Inputs'!$C$49)*('01_Inputs'!$D$49)))+((('01_Inputs'!$C$5)*('01_Inputs'!$C$10)))*(('01_Inputs'!$C$39)*('01_Inputs'!$C$49)+('01_Inputs'!$C$40)*('01_Inputs'!$D$49))))-(2*((2*((('01_Inputs'!$C$5)*('01_Inputs'!$C$10)))*((('01_Inputs'!$B$49)*('01_Inputs'!$C$49)+('01_Inputs'!$C$49)*('01_Inputs'!$D$49)))+((('01_Inputs'!$C$5)*('01_Inputs'!$C$10)))*(('01_Inputs'!$C$39)*('01_Inputs'!$C$49)+('01_Inputs'!$C$40)*('01_Inputs'!$D$49))))+((2*((('01_Inputs'!$C$5)*('01_Inputs'!$C$10)))*('01_Inputs'!$B$49)*('01_Inputs'!$C$49)+4*((('01_Inputs'!$C$5)*('01_Inputs'!$C$10)))*('01_Inputs'!$C$49)*('01_Inputs'!$D$49)))))))/(((1)*(((('01_Inputs'!$C$5)*((('01_Inputs'!$B$49)*('01_Inputs'!$C$49)+('01_Inputs'!$C$49)*('01_Inputs'!$D$49)))*('01_Inputs'!$C$38)))+(0)+((('01_Inputs'!$C$5)*((('01_Inputs'!$B$49)*('01_Inputs'!$C$49)+('01_Inputs'!$C$49)*('01_Inputs'!$D$49)))*('01_Inputs'!$C$38)))))))</x:f>
        <x:v>0.1250762939453125</x:v>
      </x:c>
      <x:c r="O37" s="66" t="n">
        <x:f>((1)*((('01_Inputs'!$G$49)*((2*((('01_Inputs'!$C$5)*('01_Inputs'!$C$10)))*((('01_Inputs'!$B$49)*('01_Inputs'!$C$49)+('01_Inputs'!$C$49)*('01_Inputs'!$D$49)))+((('01_Inputs'!$C$5)*('01_Inputs'!$C$10)))*(('01_Inputs'!$C$39)*('01_Inputs'!$C$49)+('01_Inputs'!$C$40)*('01_Inputs'!$D$49))))-(2*((2*((('01_Inputs'!$C$5)*('01_Inputs'!$C$10)))*((('01_Inputs'!$B$49)*('01_Inputs'!$C$49)+('01_Inputs'!$C$49)*('01_Inputs'!$D$49)))+((('01_Inputs'!$C$5)*('01_Inputs'!$C$10)))*(('01_Inputs'!$C$39)*('01_Inputs'!$C$49)+('01_Inputs'!$C$40)*('01_Inputs'!$D$49))))+((2*((('01_Inputs'!$C$5)*('01_Inputs'!$C$10)))*('01_Inputs'!$B$49)*('01_Inputs'!$C$49)+4*((('01_Inputs'!$C$5)*('01_Inputs'!$C$10)))*('01_Inputs'!$C$49)*('01_Inputs'!$D$49))))))/(('01_Inputs'!$C$33)*('02_HW'!$C$6))*('02_HW'!$C$10))</x:f>
        <x:v>0.0009314236532293022</x:v>
      </x:c>
      <x:c r="P37" s="66" t="n">
        <x:f>((1)*(((('01_Inputs'!$C$5)*((('01_Inputs'!$B$49)*('01_Inputs'!$C$49)+('01_Inputs'!$C$49)*('01_Inputs'!$D$49)))*('01_Inputs'!$C$38)))+(0)+((('01_Inputs'!$C$5)*((('01_Inputs'!$B$49)*('01_Inputs'!$C$49)+('01_Inputs'!$C$49)*('01_Inputs'!$D$49)))*('01_Inputs'!$C$38))))/(('01_Inputs'!$C$34)*('02_HW'!$C$7))*('02_HW'!$C$10))</x:f>
        <x:v>4.643207887567568</x:v>
      </x:c>
      <x:c r="Q37" s="66" t="n">
        <x:f>(MAX(((1)*((('01_Inputs'!$G$49)*((2*((('01_Inputs'!$C$5)*('01_Inputs'!$C$10)))*((('01_Inputs'!$B$49)*('01_Inputs'!$C$49)+('01_Inputs'!$C$49)*('01_Inputs'!$D$49)))+((('01_Inputs'!$C$5)*('01_Inputs'!$C$10)))*(('01_Inputs'!$C$39)*('01_Inputs'!$C$49)+('01_Inputs'!$C$40)*('01_Inputs'!$D$49))))-(2*((2*((('01_Inputs'!$C$5)*('01_Inputs'!$C$10)))*((('01_Inputs'!$B$49)*('01_Inputs'!$C$49)+('01_Inputs'!$C$49)*('01_Inputs'!$D$49)))+((('01_Inputs'!$C$5)*('01_Inputs'!$C$10)))*(('01_Inputs'!$C$39)*('01_Inputs'!$C$49)+('01_Inputs'!$C$40)*('01_Inputs'!$D$49))))+((2*((('01_Inputs'!$C$5)*('01_Inputs'!$C$10)))*('01_Inputs'!$B$49)*('01_Inputs'!$C$49)+4*((('01_Inputs'!$C$5)*('01_Inputs'!$C$10)))*('01_Inputs'!$C$49)*('01_Inputs'!$D$49))))))/(('01_Inputs'!$C$33)*('02_HW'!$C$6))*('02_HW'!$C$10)),((1)*(((('01_Inputs'!$C$5)*((('01_Inputs'!$B$49)*('01_Inputs'!$C$49)+('01_Inputs'!$C$49)*('01_Inputs'!$D$49)))*('01_Inputs'!$C$38)))+(0)+((('01_Inputs'!$C$5)*((('01_Inputs'!$B$49)*('01_Inputs'!$C$49)+('01_Inputs'!$C$49)*('01_Inputs'!$D$49)))*('01_Inputs'!$C$38))))/(('01_Inputs'!$C$34)*('02_HW'!$C$7))*('02_HW'!$C$10)))+(1)*('02_HW'!$C$9)*('02_HW'!$C$10))</x:f>
        <x:v>4.643207887567568</x:v>
      </x:c>
      <x:c r="R37" s="21" t="str">
        <x:f>IF(O37&gt;P37,"compute",IF(P37&gt;O37,"memory","balanced"))</x:f>
        <x:v>memory</x:v>
      </x:c>
      <x:c r="S37" s="24" t="str">
        <x:v>Residual DGD calibration after all loss terms.</x:v>
      </x:c>
    </x:row>
    <x:row r="38">
      <x:c r="A38" s="21" t="n">
        <x:f>ROW()-11</x:f>
        <x:v>27</x:v>
      </x:c>
      <x:c r="B38" s="21" t="str">
        <x:v>decode</x:v>
      </x:c>
      <x:c r="C38" s="21" t="str">
        <x:v>backward_update</x:v>
      </x:c>
      <x:c r="D38" s="21" t="str">
        <x:v>M_v_state_apply</x:v>
      </x:c>
      <x:c r="E38" s="24" t="str">
        <x:v>B(1+m)Pbs read + write</x:v>
      </x:c>
      <x:c r="F38" s="66" t="n">
        <x:f>(1/('01_Inputs'!$E$49))</x:f>
        <x:v>0.00048828125</x:v>
      </x:c>
      <x:c r="G38" s="69" t="n">
        <x:f>0</x:f>
        <x:v>0</x:v>
      </x:c>
      <x:c r="H38" s="69" t="n">
        <x:f>(('01_Inputs'!$C$5)*(1+('01_Inputs'!$F$49))*((('01_Inputs'!$B$49)*('01_Inputs'!$C$49)+('01_Inputs'!$C$49)*('01_Inputs'!$D$49)))*('01_Inputs'!$C$37))</x:f>
        <x:v>8589934592</x:v>
      </x:c>
      <x:c r="I38" s="69" t="n">
        <x:f>(('01_Inputs'!$C$5)*(1+('01_Inputs'!$F$49))*((('01_Inputs'!$B$49)*('01_Inputs'!$C$49)+('01_Inputs'!$C$49)*('01_Inputs'!$D$49)))*('01_Inputs'!$C$37))</x:f>
        <x:v>8589934592</x:v>
      </x:c>
      <x:c r="J38" s="69" t="n">
        <x:f>0</x:f>
        <x:v>0</x:v>
      </x:c>
      <x:c r="K38" s="69" t="n">
        <x:f>((1/('01_Inputs'!$E$49)))*((('01_Inputs'!$C$5)*(1+('01_Inputs'!$F$49))*((('01_Inputs'!$B$49)*('01_Inputs'!$C$49)+('01_Inputs'!$C$49)*('01_Inputs'!$D$49)))*('01_Inputs'!$C$37)))</x:f>
        <x:v>4194304</x:v>
      </x:c>
      <x:c r="L38" s="69" t="n">
        <x:f>((1/('01_Inputs'!$E$49)))*(((('01_Inputs'!$C$5)*(1+('01_Inputs'!$F$49))*((('01_Inputs'!$B$49)*('01_Inputs'!$C$49)+('01_Inputs'!$C$49)*('01_Inputs'!$D$49)))*('01_Inputs'!$C$37)))+(0))</x:f>
        <x:v>4194304</x:v>
      </x:c>
      <x:c r="M38" s="69" t="n">
        <x:f>0</x:f>
        <x:v>0</x:v>
      </x:c>
      <x:c r="N38" s="66" t="n">
        <x:f>IF((((1/('01_Inputs'!$E$49)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)=0,"",(((1/('01_Inputs'!$E$49)))*(0))/((((1/('01_Inputs'!$E$49)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)))</x:f>
        <x:v>0</x:v>
      </x:c>
      <x:c r="O38" s="66" t="n">
        <x:f>(((1/('01_Inputs'!$E$49)))*(0)/(('01_Inputs'!$C$33)*('02_HW'!$C$6))*('02_HW'!$C$10))</x:f>
        <x:v>0</x:v>
      </x:c>
      <x:c r="P38" s="66" t="n">
        <x:f>(((1/('01_Inputs'!$E$49)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/(('01_Inputs'!$C$34)*('02_HW'!$C$7))*('02_HW'!$C$10))</x:f>
        <x:v>0.0011335956756756758</x:v>
      </x:c>
      <x:c r="Q38" s="66" t="n">
        <x:f>(MAX((((1/('01_Inputs'!$E$49)))*(0)/(('01_Inputs'!$C$33)*('02_HW'!$C$6))*('02_HW'!$C$10)),(((1/('01_Inputs'!$E$49)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/(('01_Inputs'!$C$34)*('02_HW'!$C$7))*('02_HW'!$C$10)))+((1/('01_Inputs'!$E$49)))*('02_HW'!$C$9)*('02_HW'!$C$10))</x:f>
        <x:v>0.0011335956756756758</x:v>
      </x:c>
      <x:c r="R38" s="21" t="str">
        <x:f>IF(O38&gt;P38,"compute",IF(P38&gt;O38,"memory","balanced"))</x:f>
        <x:v>memory</x:v>
      </x:c>
      <x:c r="S38" s="24" t="str">
        <x:v>amortized decode state RMW.</x:v>
      </x:c>
    </x:row>
    <x:row r="39">
      <x:c r="A39" s="21" t="n">
        <x:f>ROW()-11</x:f>
        <x:v>28</x:v>
      </x:c>
      <x:c r="B39" s="21" t="str">
        <x:v>decode</x:v>
      </x:c>
      <x:c r="C39" s="21" t="str">
        <x:v>backward_update</x:v>
      </x:c>
      <x:c r="D39" s="21" t="str">
        <x:v>M_eta_weight_backward</x:v>
      </x:c>
      <x:c r="E39" s="24" t="str">
        <x:v>2NIH + 4NHO</x:v>
      </x:c>
      <x:c r="F39" s="66" t="n">
        <x:f>1</x:f>
        <x:v>1</x:v>
      </x:c>
      <x:c r="G39" s="69" t="n">
        <x:f>(2*((('01_Inputs'!$C$5)*('01_Inputs'!$C$10)))*('01_Inputs'!$B$50)*('01_Inputs'!$C$50)+4*((('01_Inputs'!$C$5)*('01_Inputs'!$C$10)))*('01_Inputs'!$C$50)*('01_Inputs'!$D$50))</x:f>
        <x:v>4296015872</x:v>
      </x:c>
      <x:c r="H39" s="69" t="n">
        <x:f>(((('01_Inputs'!$C$5)*('01_Inputs'!$C$10)))*(('01_Inputs'!$B$50)+('01_Inputs'!$C$50)+('01_Inputs'!$D$50))*('01_Inputs'!$C$16))</x:f>
        <x:v>524320</x:v>
      </x:c>
      <x:c r="I39" s="69" t="n">
        <x:f>0</x:f>
        <x:v>0</x:v>
      </x:c>
      <x:c r="J39" s="69" t="n">
        <x:f>(('01_Inputs'!$C$5)*((('01_Inputs'!$B$50)*('01_Inputs'!$C$50)+('01_Inputs'!$C$50)*('01_Inputs'!$D$50)))*('01_Inputs'!$C$38))</x:f>
        <x:v>8590983168</x:v>
      </x:c>
      <x:c r="K39" s="69" t="n">
        <x:f>(1)*((((('01_Inputs'!$C$5)*('01_Inputs'!$C$10)))*(('01_Inputs'!$B$50)+('01_Inputs'!$C$50)+('01_Inputs'!$D$50))*('01_Inputs'!$C$16)))</x:f>
        <x:v>524320</x:v>
      </x:c>
      <x:c r="L39" s="69" t="n">
        <x:f>(1)*((0)+((('01_Inputs'!$C$5)*((('01_Inputs'!$B$50)*('01_Inputs'!$C$50)+('01_Inputs'!$C$50)*('01_Inputs'!$D$50)))*('01_Inputs'!$C$38))))</x:f>
        <x:v>8590983168</x:v>
      </x:c>
      <x:c r="M39" s="69" t="n">
        <x:f>0</x:f>
        <x:v>0</x:v>
      </x:c>
      <x:c r="N39" s="66" t="n">
        <x:f>IF(((1)*(((((('01_Inputs'!$C$5)*('01_Inputs'!$C$10)))*(('01_Inputs'!$B$50)+('01_Inputs'!$C$50)+('01_Inputs'!$D$50))*('01_Inputs'!$C$16)))+(0)+((('01_Inputs'!$C$5)*((('01_Inputs'!$B$50)*('01_Inputs'!$C$50)+('01_Inputs'!$C$50)*('01_Inputs'!$D$50)))*('01_Inputs'!$C$38)))))=0,"",((1)*((2*((('01_Inputs'!$C$5)*('01_Inputs'!$C$10)))*('01_Inputs'!$B$50)*('01_Inputs'!$C$50)+4*((('01_Inputs'!$C$5)*('01_Inputs'!$C$10)))*('01_Inputs'!$C$50)*('01_Inputs'!$D$50))))/(((1)*(((((('01_Inputs'!$C$5)*('01_Inputs'!$C$10)))*(('01_Inputs'!$B$50)+('01_Inputs'!$C$50)+('01_Inputs'!$D$50))*('01_Inputs'!$C$16)))+(0)+((('01_Inputs'!$C$5)*((('01_Inputs'!$B$50)*('01_Inputs'!$C$50)+('01_Inputs'!$C$50)*('01_Inputs'!$D$50)))*('01_Inputs'!$C$38)))))))</x:f>
        <x:v>0.5000305101287947</x:v>
      </x:c>
      <x:c r="O39" s="66" t="n">
        <x:f>((1)*((2*((('01_Inputs'!$C$5)*('01_Inputs'!$C$10)))*('01_Inputs'!$B$50)*('01_Inputs'!$C$50)+4*((('01_Inputs'!$C$5)*('01_Inputs'!$C$10)))*('01_Inputs'!$C$50)*('01_Inputs'!$D$50)))/(('01_Inputs'!$C$33)*('02_HW'!$C$6))*('02_HW'!$C$10))</x:f>
        <x:v>0.0009310827637624621</x:v>
      </x:c>
      <x:c r="P39" s="66" t="n">
        <x:f>((1)*(((((('01_Inputs'!$C$5)*('01_Inputs'!$C$10)))*(('01_Inputs'!$B$50)+('01_Inputs'!$C$50)+('01_Inputs'!$D$50))*('01_Inputs'!$C$16)))+(0)+((('01_Inputs'!$C$5)*((('01_Inputs'!$B$50)*('01_Inputs'!$C$50)+('01_Inputs'!$C$50)*('01_Inputs'!$D$50)))*('01_Inputs'!$C$38))))/(('01_Inputs'!$C$34)*('02_HW'!$C$7))*('02_HW'!$C$10))</x:f>
        <x:v>1.1610145254054054</x:v>
      </x:c>
      <x:c r="Q39" s="66" t="n">
        <x:f>(MAX(((1)*((2*((('01_Inputs'!$C$5)*('01_Inputs'!$C$10)))*('01_Inputs'!$B$50)*('01_Inputs'!$C$50)+4*((('01_Inputs'!$C$5)*('01_Inputs'!$C$10)))*('01_Inputs'!$C$50)*('01_Inputs'!$D$50)))/(('01_Inputs'!$C$33)*('02_HW'!$C$6))*('02_HW'!$C$10)),((1)*(((((('01_Inputs'!$C$5)*('01_Inputs'!$C$10)))*(('01_Inputs'!$B$50)+('01_Inputs'!$C$50)+('01_Inputs'!$D$50))*('01_Inputs'!$C$16)))+(0)+((('01_Inputs'!$C$5)*((('01_Inputs'!$B$50)*('01_Inputs'!$C$50)+('01_Inputs'!$C$50)*('01_Inputs'!$D$50)))*('01_Inputs'!$C$38))))/(('01_Inputs'!$C$34)*('02_HW'!$C$7))*('02_HW'!$C$10)))+(1)*('02_HW'!$C$9)*('02_HW'!$C$10))</x:f>
        <x:v>1.1610145254054054</x:v>
      </x:c>
      <x:c r="R39" s="21" t="str">
        <x:f>IF(O39&gt;P39,"compute",IF(P39&gt;O39,"memory","balanced"))</x:f>
        <x:v>memory</x:v>
      </x:c>
      <x:c r="S39" s="24" t="str">
        <x:v>Weight-gradient backward; no input gradient.</x:v>
      </x:c>
    </x:row>
    <x:row r="40">
      <x:c r="A40" s="21" t="n">
        <x:f>ROW()-11</x:f>
        <x:v>29</x:v>
      </x:c>
      <x:c r="B40" s="21" t="str">
        <x:v>decode</x:v>
      </x:c>
      <x:c r="C40" s="21" t="str">
        <x:v>backward_update</x:v>
      </x:c>
      <x:c r="D40" s="21" t="str">
        <x:v>M_eta_dgd_extra</x:v>
      </x:c>
      <x:c r="E40" s="24" t="str">
        <x:v>μFfwd − (2Ffwd+Fbwd)</x:v>
      </x:c>
      <x:c r="F40" s="66" t="n">
        <x:f>1</x:f>
        <x:v>1</x:v>
      </x:c>
      <x:c r="G40" s="69" t="n">
        <x:f>(('01_Inputs'!$G$50)*((2*((('01_Inputs'!$C$5)*('01_Inputs'!$C$10)))*((('01_Inputs'!$B$50)*('01_Inputs'!$C$50)+('01_Inputs'!$C$50)*('01_Inputs'!$D$50)))+((('01_Inputs'!$C$5)*('01_Inputs'!$C$10)))*(('01_Inputs'!$C$39)*('01_Inputs'!$C$50)+('01_Inputs'!$C$40)*('01_Inputs'!$D$50))))-(2*((2*((('01_Inputs'!$C$5)*('01_Inputs'!$C$10)))*((('01_Inputs'!$B$50)*('01_Inputs'!$C$50)+('01_Inputs'!$C$50)*('01_Inputs'!$D$50)))+((('01_Inputs'!$C$5)*('01_Inputs'!$C$10)))*(('01_Inputs'!$C$39)*('01_Inputs'!$C$50)+('01_Inputs'!$C$40)*('01_Inputs'!$D$50))))+((2*((('01_Inputs'!$C$5)*('01_Inputs'!$C$10)))*('01_Inputs'!$B$50)*('01_Inputs'!$C$50)+4*((('01_Inputs'!$C$5)*('01_Inputs'!$C$10)))*('01_Inputs'!$C$50)*('01_Inputs'!$D$50)))))</x:f>
        <x:v>4297064512</x:v>
      </x:c>
      <x:c r="H40" s="69" t="n">
        <x:f>(('01_Inputs'!$C$5)*((('01_Inputs'!$B$50)*('01_Inputs'!$C$50)+('01_Inputs'!$C$50)*('01_Inputs'!$D$50)))*('01_Inputs'!$C$38))</x:f>
        <x:v>8590983168</x:v>
      </x:c>
      <x:c r="I40" s="69" t="n">
        <x:f>0</x:f>
        <x:v>0</x:v>
      </x:c>
      <x:c r="J40" s="69" t="n">
        <x:f>(('01_Inputs'!$C$5)*((('01_Inputs'!$B$50)*('01_Inputs'!$C$50)+('01_Inputs'!$C$50)*('01_Inputs'!$D$50)))*('01_Inputs'!$C$38))</x:f>
        <x:v>8590983168</x:v>
      </x:c>
      <x:c r="K40" s="69" t="n">
        <x:f>(1)*((('01_Inputs'!$C$5)*((('01_Inputs'!$B$50)*('01_Inputs'!$C$50)+('01_Inputs'!$C$50)*('01_Inputs'!$D$50)))*('01_Inputs'!$C$38)))</x:f>
        <x:v>8590983168</x:v>
      </x:c>
      <x:c r="L40" s="69" t="n">
        <x:f>(1)*((0)+((('01_Inputs'!$C$5)*((('01_Inputs'!$B$50)*('01_Inputs'!$C$50)+('01_Inputs'!$C$50)*('01_Inputs'!$D$50)))*('01_Inputs'!$C$38))))</x:f>
        <x:v>8590983168</x:v>
      </x:c>
      <x:c r="M40" s="69" t="n">
        <x:f>0</x:f>
        <x:v>0</x:v>
      </x:c>
      <x:c r="N40" s="66" t="n">
        <x:f>IF(((1)*(((('01_Inputs'!$C$5)*((('01_Inputs'!$B$50)*('01_Inputs'!$C$50)+('01_Inputs'!$C$50)*('01_Inputs'!$D$50)))*('01_Inputs'!$C$38)))+(0)+((('01_Inputs'!$C$5)*((('01_Inputs'!$B$50)*('01_Inputs'!$C$50)+('01_Inputs'!$C$50)*('01_Inputs'!$D$50)))*('01_Inputs'!$C$38)))))=0,"",((1)*((('01_Inputs'!$G$50)*((2*((('01_Inputs'!$C$5)*('01_Inputs'!$C$10)))*((('01_Inputs'!$B$50)*('01_Inputs'!$C$50)+('01_Inputs'!$C$50)*('01_Inputs'!$D$50)))+((('01_Inputs'!$C$5)*('01_Inputs'!$C$10)))*(('01_Inputs'!$C$39)*('01_Inputs'!$C$50)+('01_Inputs'!$C$40)*('01_Inputs'!$D$50))))-(2*((2*((('01_Inputs'!$C$5)*('01_Inputs'!$C$10)))*((('01_Inputs'!$B$50)*('01_Inputs'!$C$50)+('01_Inputs'!$C$50)*('01_Inputs'!$D$50)))+((('01_Inputs'!$C$5)*('01_Inputs'!$C$10)))*(('01_Inputs'!$C$39)*('01_Inputs'!$C$50)+('01_Inputs'!$C$40)*('01_Inputs'!$D$50))))+((2*((('01_Inputs'!$C$5)*('01_Inputs'!$C$10)))*('01_Inputs'!$B$50)*('01_Inputs'!$C$50)+4*((('01_Inputs'!$C$5)*('01_Inputs'!$C$10)))*('01_Inputs'!$C$50)*('01_Inputs'!$D$50)))))))/(((1)*(((('01_Inputs'!$C$5)*((('01_Inputs'!$B$50)*('01_Inputs'!$C$50)+('01_Inputs'!$C$50)*('01_Inputs'!$D$50)))*('01_Inputs'!$C$38)))+(0)+((('01_Inputs'!$C$5)*((('01_Inputs'!$B$50)*('01_Inputs'!$C$50)+('01_Inputs'!$C$50)*('01_Inputs'!$D$50)))*('01_Inputs'!$C$38)))))))</x:f>
        <x:v>0.2500915452847038</x:v>
      </x:c>
      <x:c r="O40" s="66" t="n">
        <x:f>((1)*((('01_Inputs'!$G$50)*((2*((('01_Inputs'!$C$5)*('01_Inputs'!$C$10)))*((('01_Inputs'!$B$50)*('01_Inputs'!$C$50)+('01_Inputs'!$C$50)*('01_Inputs'!$D$50)))+((('01_Inputs'!$C$5)*('01_Inputs'!$C$10)))*(('01_Inputs'!$C$39)*('01_Inputs'!$C$50)+('01_Inputs'!$C$40)*('01_Inputs'!$D$50))))-(2*((2*((('01_Inputs'!$C$5)*('01_Inputs'!$C$10)))*((('01_Inputs'!$B$50)*('01_Inputs'!$C$50)+('01_Inputs'!$C$50)*('01_Inputs'!$D$50)))+((('01_Inputs'!$C$5)*('01_Inputs'!$C$10)))*(('01_Inputs'!$C$39)*('01_Inputs'!$C$50)+('01_Inputs'!$C$40)*('01_Inputs'!$D$50))))+((2*((('01_Inputs'!$C$5)*('01_Inputs'!$C$10)))*('01_Inputs'!$B$50)*('01_Inputs'!$C$50)+4*((('01_Inputs'!$C$5)*('01_Inputs'!$C$10)))*('01_Inputs'!$C$50)*('01_Inputs'!$D$50))))))/(('01_Inputs'!$C$33)*('02_HW'!$C$6))*('02_HW'!$C$10))</x:f>
        <x:v>0.00093131003727785</x:v>
      </x:c>
      <x:c r="P40" s="66" t="n">
        <x:f>((1)*(((('01_Inputs'!$C$5)*((('01_Inputs'!$B$50)*('01_Inputs'!$C$50)+('01_Inputs'!$C$50)*('01_Inputs'!$D$50)))*('01_Inputs'!$C$38)))+(0)+((('01_Inputs'!$C$5)*((('01_Inputs'!$B$50)*('01_Inputs'!$C$50)+('01_Inputs'!$C$50)*('01_Inputs'!$D$50)))*('01_Inputs'!$C$38))))/(('01_Inputs'!$C$34)*('02_HW'!$C$7))*('02_HW'!$C$10))</x:f>
        <x:v>2.3218873427027025</x:v>
      </x:c>
      <x:c r="Q40" s="66" t="n">
        <x:f>(MAX(((1)*((('01_Inputs'!$G$50)*((2*((('01_Inputs'!$C$5)*('01_Inputs'!$C$10)))*((('01_Inputs'!$B$50)*('01_Inputs'!$C$50)+('01_Inputs'!$C$50)*('01_Inputs'!$D$50)))+((('01_Inputs'!$C$5)*('01_Inputs'!$C$10)))*(('01_Inputs'!$C$39)*('01_Inputs'!$C$50)+('01_Inputs'!$C$40)*('01_Inputs'!$D$50))))-(2*((2*((('01_Inputs'!$C$5)*('01_Inputs'!$C$10)))*((('01_Inputs'!$B$50)*('01_Inputs'!$C$50)+('01_Inputs'!$C$50)*('01_Inputs'!$D$50)))+((('01_Inputs'!$C$5)*('01_Inputs'!$C$10)))*(('01_Inputs'!$C$39)*('01_Inputs'!$C$50)+('01_Inputs'!$C$40)*('01_Inputs'!$D$50))))+((2*((('01_Inputs'!$C$5)*('01_Inputs'!$C$10)))*('01_Inputs'!$B$50)*('01_Inputs'!$C$50)+4*((('01_Inputs'!$C$5)*('01_Inputs'!$C$10)))*('01_Inputs'!$C$50)*('01_Inputs'!$D$50))))))/(('01_Inputs'!$C$33)*('02_HW'!$C$6))*('02_HW'!$C$10)),((1)*(((('01_Inputs'!$C$5)*((('01_Inputs'!$B$50)*('01_Inputs'!$C$50)+('01_Inputs'!$C$50)*('01_Inputs'!$D$50)))*('01_Inputs'!$C$38)))+(0)+((('01_Inputs'!$C$5)*((('01_Inputs'!$B$50)*('01_Inputs'!$C$50)+('01_Inputs'!$C$50)*('01_Inputs'!$D$50)))*('01_Inputs'!$C$38))))/(('01_Inputs'!$C$34)*('02_HW'!$C$7))*('02_HW'!$C$10)))+(1)*('02_HW'!$C$9)*('02_HW'!$C$10))</x:f>
        <x:v>2.3218873427027025</x:v>
      </x:c>
      <x:c r="R40" s="21" t="str">
        <x:f>IF(O40&gt;P40,"compute",IF(P40&gt;O40,"memory","balanced"))</x:f>
        <x:v>memory</x:v>
      </x:c>
      <x:c r="S40" s="24" t="str">
        <x:v>Residual DGD calibration after all loss terms.</x:v>
      </x:c>
    </x:row>
    <x:row r="41">
      <x:c r="A41" s="21" t="n">
        <x:f>ROW()-11</x:f>
        <x:v>30</x:v>
      </x:c>
      <x:c r="B41" s="21" t="str">
        <x:v>decode</x:v>
      </x:c>
      <x:c r="C41" s="21" t="str">
        <x:v>backward_update</x:v>
      </x:c>
      <x:c r="D41" s="21" t="str">
        <x:v>M_eta_state_apply</x:v>
      </x:c>
      <x:c r="E41" s="24" t="str">
        <x:v>B(1+m)Pbs read + write</x:v>
      </x:c>
      <x:c r="F41" s="66" t="n">
        <x:f>(1/('01_Inputs'!$E$50))</x:f>
        <x:v>0.00048828125</x:v>
      </x:c>
      <x:c r="G41" s="69" t="n">
        <x:f>0</x:f>
        <x:v>0</x:v>
      </x:c>
      <x:c r="H41" s="69" t="n">
        <x:f>(('01_Inputs'!$C$5)*(1+('01_Inputs'!$F$50))*((('01_Inputs'!$B$50)*('01_Inputs'!$C$50)+('01_Inputs'!$C$50)*('01_Inputs'!$D$50)))*('01_Inputs'!$C$37))</x:f>
        <x:v>4295491584</x:v>
      </x:c>
      <x:c r="I41" s="69" t="n">
        <x:f>(('01_Inputs'!$C$5)*(1+('01_Inputs'!$F$50))*((('01_Inputs'!$B$50)*('01_Inputs'!$C$50)+('01_Inputs'!$C$50)*('01_Inputs'!$D$50)))*('01_Inputs'!$C$37))</x:f>
        <x:v>4295491584</x:v>
      </x:c>
      <x:c r="J41" s="69" t="n">
        <x:f>0</x:f>
        <x:v>0</x:v>
      </x:c>
      <x:c r="K41" s="69" t="n">
        <x:f>((1/('01_Inputs'!$E$50)))*((('01_Inputs'!$C$5)*(1+('01_Inputs'!$F$50))*((('01_Inputs'!$B$50)*('01_Inputs'!$C$50)+('01_Inputs'!$C$50)*('01_Inputs'!$D$50)))*('01_Inputs'!$C$37)))</x:f>
        <x:v>2097408</x:v>
      </x:c>
      <x:c r="L41" s="69" t="n">
        <x:f>((1/('01_Inputs'!$E$50)))*(((('01_Inputs'!$C$5)*(1+('01_Inputs'!$F$50))*((('01_Inputs'!$B$50)*('01_Inputs'!$C$50)+('01_Inputs'!$C$50)*('01_Inputs'!$D$50)))*('01_Inputs'!$C$37)))+(0))</x:f>
        <x:v>2097408</x:v>
      </x:c>
      <x:c r="M41" s="69" t="n">
        <x:f>0</x:f>
        <x:v>0</x:v>
      </x:c>
      <x:c r="N41" s="66" t="n">
        <x:f>IF((((1/('01_Inputs'!$E$50)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)=0,"",(((1/('01_Inputs'!$E$50)))*(0))/((((1/('01_Inputs'!$E$50)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)))</x:f>
        <x:v>0</x:v>
      </x:c>
      <x:c r="O41" s="66" t="n">
        <x:f>(((1/('01_Inputs'!$E$50)))*(0)/(('01_Inputs'!$C$33)*('02_HW'!$C$6))*('02_HW'!$C$10))</x:f>
        <x:v>0</x:v>
      </x:c>
      <x:c r="P41" s="66" t="n">
        <x:f>(((1/('01_Inputs'!$E$50)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/(('01_Inputs'!$C$34)*('02_HW'!$C$7))*('02_HW'!$C$10))</x:f>
        <x:v>0.000566867027027027</x:v>
      </x:c>
      <x:c r="Q41" s="66" t="n">
        <x:f>(MAX((((1/('01_Inputs'!$E$50)))*(0)/(('01_Inputs'!$C$33)*('02_HW'!$C$6))*('02_HW'!$C$10)),(((1/('01_Inputs'!$E$50)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/(('01_Inputs'!$C$34)*('02_HW'!$C$7))*('02_HW'!$C$10)))+((1/('01_Inputs'!$E$50)))*('02_HW'!$C$9)*('02_HW'!$C$10))</x:f>
        <x:v>0.000566867027027027</x:v>
      </x:c>
      <x:c r="R41" s="21" t="str">
        <x:f>IF(O41&gt;P41,"compute",IF(P41&gt;O41,"memory","balanced"))</x:f>
        <x:v>memory</x:v>
      </x:c>
      <x:c r="S41" s="24" t="str">
        <x:v>amortized decode state RMW.</x:v>
      </x:c>
    </x:row>
    <x:row r="42">
      <x:c r="A42" s="21" t="n">
        <x:f>ROW()-11</x:f>
        <x:v>31</x:v>
      </x:c>
      <x:c r="B42" s="21" t="str">
        <x:v>decode</x:v>
      </x:c>
      <x:c r="C42" s="21" t="str">
        <x:v>backward_update</x:v>
      </x:c>
      <x:c r="D42" s="21" t="str">
        <x:v>M_alpha_weight_backward</x:v>
      </x:c>
      <x:c r="E42" s="24" t="str">
        <x:v>2NIH + 4NHO</x:v>
      </x:c>
      <x:c r="F42" s="66" t="n">
        <x:f>1</x:f>
        <x:v>1</x:v>
      </x:c>
      <x:c r="G42" s="69" t="n">
        <x:f>(2*((('01_Inputs'!$C$5)*('01_Inputs'!$C$10)))*('01_Inputs'!$B$51)*('01_Inputs'!$C$51)+4*((('01_Inputs'!$C$5)*('01_Inputs'!$C$10)))*('01_Inputs'!$C$51)*('01_Inputs'!$D$51))</x:f>
        <x:v>4296015872</x:v>
      </x:c>
      <x:c r="H42" s="69" t="n">
        <x:f>(((('01_Inputs'!$C$5)*('01_Inputs'!$C$10)))*(('01_Inputs'!$B$51)+('01_Inputs'!$C$51)+('01_Inputs'!$D$51))*('01_Inputs'!$C$16))</x:f>
        <x:v>524320</x:v>
      </x:c>
      <x:c r="I42" s="69" t="n">
        <x:f>0</x:f>
        <x:v>0</x:v>
      </x:c>
      <x:c r="J42" s="69" t="n">
        <x:f>(('01_Inputs'!$C$5)*((('01_Inputs'!$B$51)*('01_Inputs'!$C$51)+('01_Inputs'!$C$51)*('01_Inputs'!$D$51)))*('01_Inputs'!$C$38))</x:f>
        <x:v>8590983168</x:v>
      </x:c>
      <x:c r="K42" s="69" t="n">
        <x:f>(1)*((((('01_Inputs'!$C$5)*('01_Inputs'!$C$10)))*(('01_Inputs'!$B$51)+('01_Inputs'!$C$51)+('01_Inputs'!$D$51))*('01_Inputs'!$C$16)))</x:f>
        <x:v>524320</x:v>
      </x:c>
      <x:c r="L42" s="69" t="n">
        <x:f>(1)*((0)+((('01_Inputs'!$C$5)*((('01_Inputs'!$B$51)*('01_Inputs'!$C$51)+('01_Inputs'!$C$51)*('01_Inputs'!$D$51)))*('01_Inputs'!$C$38))))</x:f>
        <x:v>8590983168</x:v>
      </x:c>
      <x:c r="M42" s="69" t="n">
        <x:f>0</x:f>
        <x:v>0</x:v>
      </x:c>
      <x:c r="N42" s="66" t="n">
        <x:f>IF(((1)*(((((('01_Inputs'!$C$5)*('01_Inputs'!$C$10)))*(('01_Inputs'!$B$51)+('01_Inputs'!$C$51)+('01_Inputs'!$D$51))*('01_Inputs'!$C$16)))+(0)+((('01_Inputs'!$C$5)*((('01_Inputs'!$B$51)*('01_Inputs'!$C$51)+('01_Inputs'!$C$51)*('01_Inputs'!$D$51)))*('01_Inputs'!$C$38)))))=0,"",((1)*((2*((('01_Inputs'!$C$5)*('01_Inputs'!$C$10)))*('01_Inputs'!$B$51)*('01_Inputs'!$C$51)+4*((('01_Inputs'!$C$5)*('01_Inputs'!$C$10)))*('01_Inputs'!$C$51)*('01_Inputs'!$D$51))))/(((1)*(((((('01_Inputs'!$C$5)*('01_Inputs'!$C$10)))*(('01_Inputs'!$B$51)+('01_Inputs'!$C$51)+('01_Inputs'!$D$51))*('01_Inputs'!$C$16)))+(0)+((('01_Inputs'!$C$5)*((('01_Inputs'!$B$51)*('01_Inputs'!$C$51)+('01_Inputs'!$C$51)*('01_Inputs'!$D$51)))*('01_Inputs'!$C$38)))))))</x:f>
        <x:v>0.5000305101287947</x:v>
      </x:c>
      <x:c r="O42" s="66" t="n">
        <x:f>((1)*((2*((('01_Inputs'!$C$5)*('01_Inputs'!$C$10)))*('01_Inputs'!$B$51)*('01_Inputs'!$C$51)+4*((('01_Inputs'!$C$5)*('01_Inputs'!$C$10)))*('01_Inputs'!$C$51)*('01_Inputs'!$D$51)))/(('01_Inputs'!$C$33)*('02_HW'!$C$6))*('02_HW'!$C$10))</x:f>
        <x:v>0.0009310827637624621</x:v>
      </x:c>
      <x:c r="P42" s="66" t="n">
        <x:f>((1)*(((((('01_Inputs'!$C$5)*('01_Inputs'!$C$10)))*(('01_Inputs'!$B$51)+('01_Inputs'!$C$51)+('01_Inputs'!$D$51))*('01_Inputs'!$C$16)))+(0)+((('01_Inputs'!$C$5)*((('01_Inputs'!$B$51)*('01_Inputs'!$C$51)+('01_Inputs'!$C$51)*('01_Inputs'!$D$51)))*('01_Inputs'!$C$38))))/(('01_Inputs'!$C$34)*('02_HW'!$C$7))*('02_HW'!$C$10))</x:f>
        <x:v>1.1610145254054054</x:v>
      </x:c>
      <x:c r="Q42" s="66" t="n">
        <x:f>(MAX(((1)*((2*((('01_Inputs'!$C$5)*('01_Inputs'!$C$10)))*('01_Inputs'!$B$51)*('01_Inputs'!$C$51)+4*((('01_Inputs'!$C$5)*('01_Inputs'!$C$10)))*('01_Inputs'!$C$51)*('01_Inputs'!$D$51)))/(('01_Inputs'!$C$33)*('02_HW'!$C$6))*('02_HW'!$C$10)),((1)*(((((('01_Inputs'!$C$5)*('01_Inputs'!$C$10)))*(('01_Inputs'!$B$51)+('01_Inputs'!$C$51)+('01_Inputs'!$D$51))*('01_Inputs'!$C$16)))+(0)+((('01_Inputs'!$C$5)*((('01_Inputs'!$B$51)*('01_Inputs'!$C$51)+('01_Inputs'!$C$51)*('01_Inputs'!$D$51)))*('01_Inputs'!$C$38))))/(('01_Inputs'!$C$34)*('02_HW'!$C$7))*('02_HW'!$C$10)))+(1)*('02_HW'!$C$9)*('02_HW'!$C$10))</x:f>
        <x:v>1.1610145254054054</x:v>
      </x:c>
      <x:c r="R42" s="21" t="str">
        <x:f>IF(O42&gt;P42,"compute",IF(P42&gt;O42,"memory","balanced"))</x:f>
        <x:v>memory</x:v>
      </x:c>
      <x:c r="S42" s="24" t="str">
        <x:v>Weight-gradient backward; no input gradient.</x:v>
      </x:c>
    </x:row>
    <x:row r="43">
      <x:c r="A43" s="21" t="n">
        <x:f>ROW()-11</x:f>
        <x:v>32</x:v>
      </x:c>
      <x:c r="B43" s="21" t="str">
        <x:v>decode</x:v>
      </x:c>
      <x:c r="C43" s="21" t="str">
        <x:v>backward_update</x:v>
      </x:c>
      <x:c r="D43" s="21" t="str">
        <x:v>M_alpha_dgd_extra</x:v>
      </x:c>
      <x:c r="E43" s="24" t="str">
        <x:v>μFfwd − (2Ffwd+Fbwd)</x:v>
      </x:c>
      <x:c r="F43" s="66" t="n">
        <x:f>1</x:f>
        <x:v>1</x:v>
      </x:c>
      <x:c r="G43" s="69" t="n">
        <x:f>(('01_Inputs'!$G$51)*((2*((('01_Inputs'!$C$5)*('01_Inputs'!$C$10)))*((('01_Inputs'!$B$51)*('01_Inputs'!$C$51)+('01_Inputs'!$C$51)*('01_Inputs'!$D$51)))+((('01_Inputs'!$C$5)*('01_Inputs'!$C$10)))*(('01_Inputs'!$C$39)*('01_Inputs'!$C$51)+('01_Inputs'!$C$40)*('01_Inputs'!$D$51))))-(2*((2*((('01_Inputs'!$C$5)*('01_Inputs'!$C$10)))*((('01_Inputs'!$B$51)*('01_Inputs'!$C$51)+('01_Inputs'!$C$51)*('01_Inputs'!$D$51)))+((('01_Inputs'!$C$5)*('01_Inputs'!$C$10)))*(('01_Inputs'!$C$39)*('01_Inputs'!$C$51)+('01_Inputs'!$C$40)*('01_Inputs'!$D$51))))+((2*((('01_Inputs'!$C$5)*('01_Inputs'!$C$10)))*('01_Inputs'!$B$51)*('01_Inputs'!$C$51)+4*((('01_Inputs'!$C$5)*('01_Inputs'!$C$10)))*('01_Inputs'!$C$51)*('01_Inputs'!$D$51)))))</x:f>
        <x:v>4297064512</x:v>
      </x:c>
      <x:c r="H43" s="69" t="n">
        <x:f>(('01_Inputs'!$C$5)*((('01_Inputs'!$B$51)*('01_Inputs'!$C$51)+('01_Inputs'!$C$51)*('01_Inputs'!$D$51)))*('01_Inputs'!$C$38))</x:f>
        <x:v>8590983168</x:v>
      </x:c>
      <x:c r="I43" s="69" t="n">
        <x:f>0</x:f>
        <x:v>0</x:v>
      </x:c>
      <x:c r="J43" s="69" t="n">
        <x:f>(('01_Inputs'!$C$5)*((('01_Inputs'!$B$51)*('01_Inputs'!$C$51)+('01_Inputs'!$C$51)*('01_Inputs'!$D$51)))*('01_Inputs'!$C$38))</x:f>
        <x:v>8590983168</x:v>
      </x:c>
      <x:c r="K43" s="69" t="n">
        <x:f>(1)*((('01_Inputs'!$C$5)*((('01_Inputs'!$B$51)*('01_Inputs'!$C$51)+('01_Inputs'!$C$51)*('01_Inputs'!$D$51)))*('01_Inputs'!$C$38)))</x:f>
        <x:v>8590983168</x:v>
      </x:c>
      <x:c r="L43" s="69" t="n">
        <x:f>(1)*((0)+((('01_Inputs'!$C$5)*((('01_Inputs'!$B$51)*('01_Inputs'!$C$51)+('01_Inputs'!$C$51)*('01_Inputs'!$D$51)))*('01_Inputs'!$C$38))))</x:f>
        <x:v>8590983168</x:v>
      </x:c>
      <x:c r="M43" s="69" t="n">
        <x:f>0</x:f>
        <x:v>0</x:v>
      </x:c>
      <x:c r="N43" s="66" t="n">
        <x:f>IF(((1)*(((('01_Inputs'!$C$5)*((('01_Inputs'!$B$51)*('01_Inputs'!$C$51)+('01_Inputs'!$C$51)*('01_Inputs'!$D$51)))*('01_Inputs'!$C$38)))+(0)+((('01_Inputs'!$C$5)*((('01_Inputs'!$B$51)*('01_Inputs'!$C$51)+('01_Inputs'!$C$51)*('01_Inputs'!$D$51)))*('01_Inputs'!$C$38)))))=0,"",((1)*((('01_Inputs'!$G$51)*((2*((('01_Inputs'!$C$5)*('01_Inputs'!$C$10)))*((('01_Inputs'!$B$51)*('01_Inputs'!$C$51)+('01_Inputs'!$C$51)*('01_Inputs'!$D$51)))+((('01_Inputs'!$C$5)*('01_Inputs'!$C$10)))*(('01_Inputs'!$C$39)*('01_Inputs'!$C$51)+('01_Inputs'!$C$40)*('01_Inputs'!$D$51))))-(2*((2*((('01_Inputs'!$C$5)*('01_Inputs'!$C$10)))*((('01_Inputs'!$B$51)*('01_Inputs'!$C$51)+('01_Inputs'!$C$51)*('01_Inputs'!$D$51)))+((('01_Inputs'!$C$5)*('01_Inputs'!$C$10)))*(('01_Inputs'!$C$39)*('01_Inputs'!$C$51)+('01_Inputs'!$C$40)*('01_Inputs'!$D$51))))+((2*((('01_Inputs'!$C$5)*('01_Inputs'!$C$10)))*('01_Inputs'!$B$51)*('01_Inputs'!$C$51)+4*((('01_Inputs'!$C$5)*('01_Inputs'!$C$10)))*('01_Inputs'!$C$51)*('01_Inputs'!$D$51)))))))/(((1)*(((('01_Inputs'!$C$5)*((('01_Inputs'!$B$51)*('01_Inputs'!$C$51)+('01_Inputs'!$C$51)*('01_Inputs'!$D$51)))*('01_Inputs'!$C$38)))+(0)+((('01_Inputs'!$C$5)*((('01_Inputs'!$B$51)*('01_Inputs'!$C$51)+('01_Inputs'!$C$51)*('01_Inputs'!$D$51)))*('01_Inputs'!$C$38)))))))</x:f>
        <x:v>0.2500915452847038</x:v>
      </x:c>
      <x:c r="O43" s="66" t="n">
        <x:f>((1)*((('01_Inputs'!$G$51)*((2*((('01_Inputs'!$C$5)*('01_Inputs'!$C$10)))*((('01_Inputs'!$B$51)*('01_Inputs'!$C$51)+('01_Inputs'!$C$51)*('01_Inputs'!$D$51)))+((('01_Inputs'!$C$5)*('01_Inputs'!$C$10)))*(('01_Inputs'!$C$39)*('01_Inputs'!$C$51)+('01_Inputs'!$C$40)*('01_Inputs'!$D$51))))-(2*((2*((('01_Inputs'!$C$5)*('01_Inputs'!$C$10)))*((('01_Inputs'!$B$51)*('01_Inputs'!$C$51)+('01_Inputs'!$C$51)*('01_Inputs'!$D$51)))+((('01_Inputs'!$C$5)*('01_Inputs'!$C$10)))*(('01_Inputs'!$C$39)*('01_Inputs'!$C$51)+('01_Inputs'!$C$40)*('01_Inputs'!$D$51))))+((2*((('01_Inputs'!$C$5)*('01_Inputs'!$C$10)))*('01_Inputs'!$B$51)*('01_Inputs'!$C$51)+4*((('01_Inputs'!$C$5)*('01_Inputs'!$C$10)))*('01_Inputs'!$C$51)*('01_Inputs'!$D$51))))))/(('01_Inputs'!$C$33)*('02_HW'!$C$6))*('02_HW'!$C$10))</x:f>
        <x:v>0.00093131003727785</x:v>
      </x:c>
      <x:c r="P43" s="66" t="n">
        <x:f>((1)*(((('01_Inputs'!$C$5)*((('01_Inputs'!$B$51)*('01_Inputs'!$C$51)+('01_Inputs'!$C$51)*('01_Inputs'!$D$51)))*('01_Inputs'!$C$38)))+(0)+((('01_Inputs'!$C$5)*((('01_Inputs'!$B$51)*('01_Inputs'!$C$51)+('01_Inputs'!$C$51)*('01_Inputs'!$D$51)))*('01_Inputs'!$C$38))))/(('01_Inputs'!$C$34)*('02_HW'!$C$7))*('02_HW'!$C$10))</x:f>
        <x:v>2.3218873427027025</x:v>
      </x:c>
      <x:c r="Q43" s="66" t="n">
        <x:f>(MAX(((1)*((('01_Inputs'!$G$51)*((2*((('01_Inputs'!$C$5)*('01_Inputs'!$C$10)))*((('01_Inputs'!$B$51)*('01_Inputs'!$C$51)+('01_Inputs'!$C$51)*('01_Inputs'!$D$51)))+((('01_Inputs'!$C$5)*('01_Inputs'!$C$10)))*(('01_Inputs'!$C$39)*('01_Inputs'!$C$51)+('01_Inputs'!$C$40)*('01_Inputs'!$D$51))))-(2*((2*((('01_Inputs'!$C$5)*('01_Inputs'!$C$10)))*((('01_Inputs'!$B$51)*('01_Inputs'!$C$51)+('01_Inputs'!$C$51)*('01_Inputs'!$D$51)))+((('01_Inputs'!$C$5)*('01_Inputs'!$C$10)))*(('01_Inputs'!$C$39)*('01_Inputs'!$C$51)+('01_Inputs'!$C$40)*('01_Inputs'!$D$51))))+((2*((('01_Inputs'!$C$5)*('01_Inputs'!$C$10)))*('01_Inputs'!$B$51)*('01_Inputs'!$C$51)+4*((('01_Inputs'!$C$5)*('01_Inputs'!$C$10)))*('01_Inputs'!$C$51)*('01_Inputs'!$D$51))))))/(('01_Inputs'!$C$33)*('02_HW'!$C$6))*('02_HW'!$C$10)),((1)*(((('01_Inputs'!$C$5)*((('01_Inputs'!$B$51)*('01_Inputs'!$C$51)+('01_Inputs'!$C$51)*('01_Inputs'!$D$51)))*('01_Inputs'!$C$38)))+(0)+((('01_Inputs'!$C$5)*((('01_Inputs'!$B$51)*('01_Inputs'!$C$51)+('01_Inputs'!$C$51)*('01_Inputs'!$D$51)))*('01_Inputs'!$C$38))))/(('01_Inputs'!$C$34)*('02_HW'!$C$7))*('02_HW'!$C$10)))+(1)*('02_HW'!$C$9)*('02_HW'!$C$10))</x:f>
        <x:v>2.3218873427027025</x:v>
      </x:c>
      <x:c r="R43" s="21" t="str">
        <x:f>IF(O43&gt;P43,"compute",IF(P43&gt;O43,"memory","balanced"))</x:f>
        <x:v>memory</x:v>
      </x:c>
      <x:c r="S43" s="24" t="str">
        <x:v>Residual DGD calibration after all loss terms.</x:v>
      </x:c>
    </x:row>
    <x:row r="44">
      <x:c r="A44" s="21" t="n">
        <x:f>ROW()-11</x:f>
        <x:v>33</x:v>
      </x:c>
      <x:c r="B44" s="21" t="str">
        <x:v>decode</x:v>
      </x:c>
      <x:c r="C44" s="21" t="str">
        <x:v>backward_update</x:v>
      </x:c>
      <x:c r="D44" s="21" t="str">
        <x:v>M_alpha_state_apply</x:v>
      </x:c>
      <x:c r="E44" s="24" t="str">
        <x:v>B(1+m)Pbs read + write</x:v>
      </x:c>
      <x:c r="F44" s="66" t="n">
        <x:f>(1/('01_Inputs'!$E$51))</x:f>
        <x:v>0.00048828125</x:v>
      </x:c>
      <x:c r="G44" s="69" t="n">
        <x:f>0</x:f>
        <x:v>0</x:v>
      </x:c>
      <x:c r="H44" s="69" t="n">
        <x:f>(('01_Inputs'!$C$5)*(1+('01_Inputs'!$F$51))*((('01_Inputs'!$B$51)*('01_Inputs'!$C$51)+('01_Inputs'!$C$51)*('01_Inputs'!$D$51)))*('01_Inputs'!$C$37))</x:f>
        <x:v>4295491584</x:v>
      </x:c>
      <x:c r="I44" s="69" t="n">
        <x:f>(('01_Inputs'!$C$5)*(1+('01_Inputs'!$F$51))*((('01_Inputs'!$B$51)*('01_Inputs'!$C$51)+('01_Inputs'!$C$51)*('01_Inputs'!$D$51)))*('01_Inputs'!$C$37))</x:f>
        <x:v>4295491584</x:v>
      </x:c>
      <x:c r="J44" s="69" t="n">
        <x:f>0</x:f>
        <x:v>0</x:v>
      </x:c>
      <x:c r="K44" s="69" t="n">
        <x:f>((1/('01_Inputs'!$E$51)))*((('01_Inputs'!$C$5)*(1+('01_Inputs'!$F$51))*((('01_Inputs'!$B$51)*('01_Inputs'!$C$51)+('01_Inputs'!$C$51)*('01_Inputs'!$D$51)))*('01_Inputs'!$C$37)))</x:f>
        <x:v>2097408</x:v>
      </x:c>
      <x:c r="L44" s="69" t="n">
        <x:f>((1/('01_Inputs'!$E$51)))*(((('01_Inputs'!$C$5)*(1+('01_Inputs'!$F$51))*((('01_Inputs'!$B$51)*('01_Inputs'!$C$51)+('01_Inputs'!$C$51)*('01_Inputs'!$D$51)))*('01_Inputs'!$C$37)))+(0))</x:f>
        <x:v>2097408</x:v>
      </x:c>
      <x:c r="M44" s="69" t="n">
        <x:f>0</x:f>
        <x:v>0</x:v>
      </x:c>
      <x:c r="N44" s="66" t="n">
        <x:f>IF((((1/('01_Inputs'!$E$51)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)=0,"",(((1/('01_Inputs'!$E$51)))*(0))/((((1/('01_Inputs'!$E$51)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)))</x:f>
        <x:v>0</x:v>
      </x:c>
      <x:c r="O44" s="66" t="n">
        <x:f>(((1/('01_Inputs'!$E$51)))*(0)/(('01_Inputs'!$C$33)*('02_HW'!$C$6))*('02_HW'!$C$10))</x:f>
        <x:v>0</x:v>
      </x:c>
      <x:c r="P44" s="66" t="n">
        <x:f>(((1/('01_Inputs'!$E$51)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/(('01_Inputs'!$C$34)*('02_HW'!$C$7))*('02_HW'!$C$10))</x:f>
        <x:v>0.000566867027027027</x:v>
      </x:c>
      <x:c r="Q44" s="66" t="n">
        <x:f>(MAX((((1/('01_Inputs'!$E$51)))*(0)/(('01_Inputs'!$C$33)*('02_HW'!$C$6))*('02_HW'!$C$10)),(((1/('01_Inputs'!$E$51)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/(('01_Inputs'!$C$34)*('02_HW'!$C$7))*('02_HW'!$C$10)))+((1/('01_Inputs'!$E$51)))*('02_HW'!$C$9)*('02_HW'!$C$10))</x:f>
        <x:v>0.000566867027027027</x:v>
      </x:c>
      <x:c r="R44" s="21" t="str">
        <x:f>IF(O44&gt;P44,"compute",IF(P44&gt;O44,"memory","balanced"))</x:f>
        <x:v>memory</x:v>
      </x:c>
      <x:c r="S44" s="24" t="str">
        <x:v>amortized decode state RMW.</x:v>
      </x:c>
    </x:row>
    <x:row r="45">
      <x:c r="A45" s="21" t="n">
        <x:f>ROW()-11</x:f>
        <x:v>34</x:v>
      </x:c>
      <x:c r="B45" s="21" t="str">
        <x:v>decode</x:v>
      </x:c>
      <x:c r="C45" s="21" t="str">
        <x:v>backward_update</x:v>
      </x:c>
      <x:c r="D45" s="21" t="str">
        <x:v>M_mem_weight_backward</x:v>
      </x:c>
      <x:c r="E45" s="24" t="str">
        <x:v>2NIH + 4NHO</x:v>
      </x:c>
      <x:c r="F45" s="66" t="n">
        <x:f>1</x:f>
        <x:v>1</x:v>
      </x:c>
      <x:c r="G45" s="69" t="n">
        <x:f>(2*((('01_Inputs'!$C$5)*('01_Inputs'!$C$10)))*('01_Inputs'!$B$52)*('01_Inputs'!$C$52)+4*((('01_Inputs'!$C$5)*('01_Inputs'!$C$10)))*('01_Inputs'!$C$52)*('01_Inputs'!$D$52))</x:f>
        <x:v>12884901888</x:v>
      </x:c>
      <x:c r="H45" s="69" t="n">
        <x:f>(((('01_Inputs'!$C$5)*('01_Inputs'!$C$10)))*(('01_Inputs'!$B$52)+('01_Inputs'!$C$52)+('01_Inputs'!$D$52))*('01_Inputs'!$C$16))</x:f>
        <x:v>786432</x:v>
      </x:c>
      <x:c r="I45" s="69" t="n">
        <x:f>0</x:f>
        <x:v>0</x:v>
      </x:c>
      <x:c r="J45" s="69" t="n">
        <x:f>(('01_Inputs'!$C$5)*((('01_Inputs'!$B$52)*('01_Inputs'!$C$52)+('01_Inputs'!$C$52)*('01_Inputs'!$D$52)))*('01_Inputs'!$C$38))</x:f>
        <x:v>17179869184</x:v>
      </x:c>
      <x:c r="K45" s="69" t="n">
        <x:f>(1)*((((('01_Inputs'!$C$5)*('01_Inputs'!$C$10)))*(('01_Inputs'!$B$52)+('01_Inputs'!$C$52)+('01_Inputs'!$D$52))*('01_Inputs'!$C$16)))</x:f>
        <x:v>786432</x:v>
      </x:c>
      <x:c r="L45" s="69" t="n">
        <x:f>(1)*((0)+((('01_Inputs'!$C$5)*((('01_Inputs'!$B$52)*('01_Inputs'!$C$52)+('01_Inputs'!$C$52)*('01_Inputs'!$D$52)))*('01_Inputs'!$C$38))))</x:f>
        <x:v>17179869184</x:v>
      </x:c>
      <x:c r="M45" s="69" t="n">
        <x:f>0</x:f>
        <x:v>0</x:v>
      </x:c>
      <x:c r="N45" s="66" t="n">
        <x:f>IF(((1)*(((((('01_Inputs'!$C$5)*('01_Inputs'!$C$10)))*(('01_Inputs'!$B$52)+('01_Inputs'!$C$52)+('01_Inputs'!$D$52))*('01_Inputs'!$C$16)))+(0)+((('01_Inputs'!$C$5)*((('01_Inputs'!$B$52)*('01_Inputs'!$C$52)+('01_Inputs'!$C$52)*('01_Inputs'!$D$52)))*('01_Inputs'!$C$38)))))=0,"",((1)*((2*((('01_Inputs'!$C$5)*('01_Inputs'!$C$10)))*('01_Inputs'!$B$52)*('01_Inputs'!$C$52)+4*((('01_Inputs'!$C$5)*('01_Inputs'!$C$10)))*('01_Inputs'!$C$52)*('01_Inputs'!$D$52))))/(((1)*(((((('01_Inputs'!$C$5)*('01_Inputs'!$C$10)))*(('01_Inputs'!$B$52)+('01_Inputs'!$C$52)+('01_Inputs'!$D$52))*('01_Inputs'!$C$16)))+(0)+((('01_Inputs'!$C$5)*((('01_Inputs'!$B$52)*('01_Inputs'!$C$52)+('01_Inputs'!$C$52)*('01_Inputs'!$D$52)))*('01_Inputs'!$C$38)))))))</x:f>
        <x:v>0.7499656692961443</x:v>
      </x:c>
      <x:c r="O45" s="66" t="n">
        <x:f>((1)*((2*((('01_Inputs'!$C$5)*('01_Inputs'!$C$10)))*('01_Inputs'!$B$52)*('01_Inputs'!$C$52)+4*((('01_Inputs'!$C$5)*('01_Inputs'!$C$10)))*('01_Inputs'!$C$52)*('01_Inputs'!$D$52)))/(('01_Inputs'!$C$33)*('02_HW'!$C$6))*('02_HW'!$C$10))</x:f>
        <x:v>0.002792566512353706</x:v>
      </x:c>
      <x:c r="P45" s="66" t="n">
        <x:f>((1)*(((((('01_Inputs'!$C$5)*('01_Inputs'!$C$10)))*(('01_Inputs'!$B$52)+('01_Inputs'!$C$52)+('01_Inputs'!$D$52))*('01_Inputs'!$C$16)))+(0)+((('01_Inputs'!$C$5)*((('01_Inputs'!$B$52)*('01_Inputs'!$C$52)+('01_Inputs'!$C$52)*('01_Inputs'!$D$52)))*('01_Inputs'!$C$38))))/(('01_Inputs'!$C$34)*('02_HW'!$C$7))*('02_HW'!$C$10))</x:f>
        <x:v>2.3217102183783784</x:v>
      </x:c>
      <x:c r="Q45" s="66" t="n">
        <x:f>(MAX(((1)*((2*((('01_Inputs'!$C$5)*('01_Inputs'!$C$10)))*('01_Inputs'!$B$52)*('01_Inputs'!$C$52)+4*((('01_Inputs'!$C$5)*('01_Inputs'!$C$10)))*('01_Inputs'!$C$52)*('01_Inputs'!$D$52)))/(('01_Inputs'!$C$33)*('02_HW'!$C$6))*('02_HW'!$C$10)),((1)*(((((('01_Inputs'!$C$5)*('01_Inputs'!$C$10)))*(('01_Inputs'!$B$52)+('01_Inputs'!$C$52)+('01_Inputs'!$D$52))*('01_Inputs'!$C$16)))+(0)+((('01_Inputs'!$C$5)*((('01_Inputs'!$B$52)*('01_Inputs'!$C$52)+('01_Inputs'!$C$52)*('01_Inputs'!$D$52)))*('01_Inputs'!$C$38))))/(('01_Inputs'!$C$34)*('02_HW'!$C$7))*('02_HW'!$C$10)))+(1)*('02_HW'!$C$9)*('02_HW'!$C$10))</x:f>
        <x:v>2.3217102183783784</x:v>
      </x:c>
      <x:c r="R45" s="21" t="str">
        <x:f>IF(O45&gt;P45,"compute",IF(P45&gt;O45,"memory","balanced"))</x:f>
        <x:v>memory</x:v>
      </x:c>
      <x:c r="S45" s="24" t="str">
        <x:v>Weight-gradient backward; no input gradient.</x:v>
      </x:c>
    </x:row>
    <x:row r="46">
      <x:c r="A46" s="21" t="n">
        <x:f>ROW()-11</x:f>
        <x:v>35</x:v>
      </x:c>
      <x:c r="B46" s="21" t="str">
        <x:v>decode</x:v>
      </x:c>
      <x:c r="C46" s="21" t="str">
        <x:v>backward_update</x:v>
      </x:c>
      <x:c r="D46" s="21" t="str">
        <x:v>M_mem_dgd_extra</x:v>
      </x:c>
      <x:c r="E46" s="24" t="str">
        <x:v>μFfwd − (2Ffwd+Fbwd)</x:v>
      </x:c>
      <x:c r="F46" s="66" t="n">
        <x:f>1</x:f>
        <x:v>1</x:v>
      </x:c>
      <x:c r="G46" s="69" t="n">
        <x:f>(('01_Inputs'!$G$52)*((2*((('01_Inputs'!$C$5)*('01_Inputs'!$C$10)))*((('01_Inputs'!$B$52)*('01_Inputs'!$C$52)+('01_Inputs'!$C$52)*('01_Inputs'!$D$52)))+((('01_Inputs'!$C$5)*('01_Inputs'!$C$10)))*(('01_Inputs'!$C$39)*('01_Inputs'!$C$52)+('01_Inputs'!$C$40)*('01_Inputs'!$D$52))))-(2*((2*((('01_Inputs'!$C$5)*('01_Inputs'!$C$10)))*((('01_Inputs'!$B$52)*('01_Inputs'!$C$52)+('01_Inputs'!$C$52)*('01_Inputs'!$D$52)))+((('01_Inputs'!$C$5)*('01_Inputs'!$C$10)))*(('01_Inputs'!$C$39)*('01_Inputs'!$C$52)+('01_Inputs'!$C$40)*('01_Inputs'!$D$52))))+((2*((('01_Inputs'!$C$5)*('01_Inputs'!$C$10)))*('01_Inputs'!$B$52)*('01_Inputs'!$C$52)+4*((('01_Inputs'!$C$5)*('01_Inputs'!$C$10)))*('01_Inputs'!$C$52)*('01_Inputs'!$D$52)))))</x:f>
        <x:v>4297588736</x:v>
      </x:c>
      <x:c r="H46" s="69" t="n">
        <x:f>(('01_Inputs'!$C$5)*((('01_Inputs'!$B$52)*('01_Inputs'!$C$52)+('01_Inputs'!$C$52)*('01_Inputs'!$D$52)))*('01_Inputs'!$C$38))</x:f>
        <x:v>17179869184</x:v>
      </x:c>
      <x:c r="I46" s="69" t="n">
        <x:f>0</x:f>
        <x:v>0</x:v>
      </x:c>
      <x:c r="J46" s="69" t="n">
        <x:f>(('01_Inputs'!$C$5)*((('01_Inputs'!$B$52)*('01_Inputs'!$C$52)+('01_Inputs'!$C$52)*('01_Inputs'!$D$52)))*('01_Inputs'!$C$38))</x:f>
        <x:v>17179869184</x:v>
      </x:c>
      <x:c r="K46" s="69" t="n">
        <x:f>(1)*((('01_Inputs'!$C$5)*((('01_Inputs'!$B$52)*('01_Inputs'!$C$52)+('01_Inputs'!$C$52)*('01_Inputs'!$D$52)))*('01_Inputs'!$C$38)))</x:f>
        <x:v>17179869184</x:v>
      </x:c>
      <x:c r="L46" s="69" t="n">
        <x:f>(1)*((0)+((('01_Inputs'!$C$5)*((('01_Inputs'!$B$52)*('01_Inputs'!$C$52)+('01_Inputs'!$C$52)*('01_Inputs'!$D$52)))*('01_Inputs'!$C$38))))</x:f>
        <x:v>17179869184</x:v>
      </x:c>
      <x:c r="M46" s="69" t="n">
        <x:f>0</x:f>
        <x:v>0</x:v>
      </x:c>
      <x:c r="N46" s="66" t="n">
        <x:f>IF(((1)*(((('01_Inputs'!$C$5)*((('01_Inputs'!$B$52)*('01_Inputs'!$C$52)+('01_Inputs'!$C$52)*('01_Inputs'!$D$52)))*('01_Inputs'!$C$38)))+(0)+((('01_Inputs'!$C$5)*((('01_Inputs'!$B$52)*('01_Inputs'!$C$52)+('01_Inputs'!$C$52)*('01_Inputs'!$D$52)))*('01_Inputs'!$C$38)))))=0,"",((1)*((('01_Inputs'!$G$52)*((2*((('01_Inputs'!$C$5)*('01_Inputs'!$C$10)))*((('01_Inputs'!$B$52)*('01_Inputs'!$C$52)+('01_Inputs'!$C$52)*('01_Inputs'!$D$52)))+((('01_Inputs'!$C$5)*('01_Inputs'!$C$10)))*(('01_Inputs'!$C$39)*('01_Inputs'!$C$52)+('01_Inputs'!$C$40)*('01_Inputs'!$D$52))))-(2*((2*((('01_Inputs'!$C$5)*('01_Inputs'!$C$10)))*((('01_Inputs'!$B$52)*('01_Inputs'!$C$52)+('01_Inputs'!$C$52)*('01_Inputs'!$D$52)))+((('01_Inputs'!$C$5)*('01_Inputs'!$C$10)))*(('01_Inputs'!$C$39)*('01_Inputs'!$C$52)+('01_Inputs'!$C$40)*('01_Inputs'!$D$52))))+((2*((('01_Inputs'!$C$5)*('01_Inputs'!$C$10)))*('01_Inputs'!$B$52)*('01_Inputs'!$C$52)+4*((('01_Inputs'!$C$5)*('01_Inputs'!$C$10)))*('01_Inputs'!$C$52)*('01_Inputs'!$D$52)))))))/(((1)*(((('01_Inputs'!$C$5)*((('01_Inputs'!$B$52)*('01_Inputs'!$C$52)+('01_Inputs'!$C$52)*('01_Inputs'!$D$52)))*('01_Inputs'!$C$38)))+(0)+((('01_Inputs'!$C$5)*((('01_Inputs'!$B$52)*('01_Inputs'!$C$52)+('01_Inputs'!$C$52)*('01_Inputs'!$D$52)))*('01_Inputs'!$C$38)))))))</x:f>
        <x:v>0.1250762939453125</x:v>
      </x:c>
      <x:c r="O46" s="66" t="n">
        <x:f>((1)*((('01_Inputs'!$G$52)*((2*((('01_Inputs'!$C$5)*('01_Inputs'!$C$10)))*((('01_Inputs'!$B$52)*('01_Inputs'!$C$52)+('01_Inputs'!$C$52)*('01_Inputs'!$D$52)))+((('01_Inputs'!$C$5)*('01_Inputs'!$C$10)))*(('01_Inputs'!$C$39)*('01_Inputs'!$C$52)+('01_Inputs'!$C$40)*('01_Inputs'!$D$52))))-(2*((2*((('01_Inputs'!$C$5)*('01_Inputs'!$C$10)))*((('01_Inputs'!$B$52)*('01_Inputs'!$C$52)+('01_Inputs'!$C$52)*('01_Inputs'!$D$52)))+((('01_Inputs'!$C$5)*('01_Inputs'!$C$10)))*(('01_Inputs'!$C$39)*('01_Inputs'!$C$52)+('01_Inputs'!$C$40)*('01_Inputs'!$D$52))))+((2*((('01_Inputs'!$C$5)*('01_Inputs'!$C$10)))*('01_Inputs'!$B$52)*('01_Inputs'!$C$52)+4*((('01_Inputs'!$C$5)*('01_Inputs'!$C$10)))*('01_Inputs'!$C$52)*('01_Inputs'!$D$52))))))/(('01_Inputs'!$C$33)*('02_HW'!$C$6))*('02_HW'!$C$10))</x:f>
        <x:v>0.0009314236532293022</x:v>
      </x:c>
      <x:c r="P46" s="66" t="n">
        <x:f>((1)*(((('01_Inputs'!$C$5)*((('01_Inputs'!$B$52)*('01_Inputs'!$C$52)+('01_Inputs'!$C$52)*('01_Inputs'!$D$52)))*('01_Inputs'!$C$38)))+(0)+((('01_Inputs'!$C$5)*((('01_Inputs'!$B$52)*('01_Inputs'!$C$52)+('01_Inputs'!$C$52)*('01_Inputs'!$D$52)))*('01_Inputs'!$C$38))))/(('01_Inputs'!$C$34)*('02_HW'!$C$7))*('02_HW'!$C$10))</x:f>
        <x:v>4.643207887567568</x:v>
      </x:c>
      <x:c r="Q46" s="66" t="n">
        <x:f>(MAX(((1)*((('01_Inputs'!$G$52)*((2*((('01_Inputs'!$C$5)*('01_Inputs'!$C$10)))*((('01_Inputs'!$B$52)*('01_Inputs'!$C$52)+('01_Inputs'!$C$52)*('01_Inputs'!$D$52)))+((('01_Inputs'!$C$5)*('01_Inputs'!$C$10)))*(('01_Inputs'!$C$39)*('01_Inputs'!$C$52)+('01_Inputs'!$C$40)*('01_Inputs'!$D$52))))-(2*((2*((('01_Inputs'!$C$5)*('01_Inputs'!$C$10)))*((('01_Inputs'!$B$52)*('01_Inputs'!$C$52)+('01_Inputs'!$C$52)*('01_Inputs'!$D$52)))+((('01_Inputs'!$C$5)*('01_Inputs'!$C$10)))*(('01_Inputs'!$C$39)*('01_Inputs'!$C$52)+('01_Inputs'!$C$40)*('01_Inputs'!$D$52))))+((2*((('01_Inputs'!$C$5)*('01_Inputs'!$C$10)))*('01_Inputs'!$B$52)*('01_Inputs'!$C$52)+4*((('01_Inputs'!$C$5)*('01_Inputs'!$C$10)))*('01_Inputs'!$C$52)*('01_Inputs'!$D$52))))))/(('01_Inputs'!$C$33)*('02_HW'!$C$6))*('02_HW'!$C$10)),((1)*(((('01_Inputs'!$C$5)*((('01_Inputs'!$B$52)*('01_Inputs'!$C$52)+('01_Inputs'!$C$52)*('01_Inputs'!$D$52)))*('01_Inputs'!$C$38)))+(0)+((('01_Inputs'!$C$5)*((('01_Inputs'!$B$52)*('01_Inputs'!$C$52)+('01_Inputs'!$C$52)*('01_Inputs'!$D$52)))*('01_Inputs'!$C$38))))/(('01_Inputs'!$C$34)*('02_HW'!$C$7))*('02_HW'!$C$10)))+(1)*('02_HW'!$C$9)*('02_HW'!$C$10))</x:f>
        <x:v>4.643207887567568</x:v>
      </x:c>
      <x:c r="R46" s="21" t="str">
        <x:f>IF(O46&gt;P46,"compute",IF(P46&gt;O46,"memory","balanced"))</x:f>
        <x:v>memory</x:v>
      </x:c>
      <x:c r="S46" s="24" t="str">
        <x:v>Residual DGD calibration after all loss terms.</x:v>
      </x:c>
    </x:row>
    <x:row r="47">
      <x:c r="A47" s="22" t="n">
        <x:f>ROW()-11</x:f>
        <x:v>36</x:v>
      </x:c>
      <x:c r="B47" s="22" t="str">
        <x:v>decode</x:v>
      </x:c>
      <x:c r="C47" s="22" t="str">
        <x:v>backward_update</x:v>
      </x:c>
      <x:c r="D47" s="22" t="str">
        <x:v>M_mem_state_apply</x:v>
      </x:c>
      <x:c r="E47" s="25" t="str">
        <x:v>B(1+m)Pbs read + write</x:v>
      </x:c>
      <x:c r="F47" s="67" t="n">
        <x:f>(1/('01_Inputs'!$E$52))</x:f>
        <x:v>0.00048828125</x:v>
      </x:c>
      <x:c r="G47" s="70" t="n">
        <x:f>0</x:f>
        <x:v>0</x:v>
      </x:c>
      <x:c r="H47" s="70" t="n">
        <x:f>(('01_Inputs'!$C$5)*(1+('01_Inputs'!$F$52))*((('01_Inputs'!$B$52)*('01_Inputs'!$C$52)+('01_Inputs'!$C$52)*('01_Inputs'!$D$52)))*('01_Inputs'!$C$37))</x:f>
        <x:v>8589934592</x:v>
      </x:c>
      <x:c r="I47" s="70" t="n">
        <x:f>(('01_Inputs'!$C$5)*(1+('01_Inputs'!$F$52))*((('01_Inputs'!$B$52)*('01_Inputs'!$C$52)+('01_Inputs'!$C$52)*('01_Inputs'!$D$52)))*('01_Inputs'!$C$37))</x:f>
        <x:v>8589934592</x:v>
      </x:c>
      <x:c r="J47" s="70" t="n">
        <x:f>0</x:f>
        <x:v>0</x:v>
      </x:c>
      <x:c r="K47" s="70" t="n">
        <x:f>((1/('01_Inputs'!$E$52)))*((('01_Inputs'!$C$5)*(1+('01_Inputs'!$F$52))*((('01_Inputs'!$B$52)*('01_Inputs'!$C$52)+('01_Inputs'!$C$52)*('01_Inputs'!$D$52)))*('01_Inputs'!$C$37)))</x:f>
        <x:v>4194304</x:v>
      </x:c>
      <x:c r="L47" s="70" t="n">
        <x:f>((1/('01_Inputs'!$E$52)))*(((('01_Inputs'!$C$5)*(1+('01_Inputs'!$F$52))*((('01_Inputs'!$B$52)*('01_Inputs'!$C$52)+('01_Inputs'!$C$52)*('01_Inputs'!$D$52)))*('01_Inputs'!$C$37)))+(0))</x:f>
        <x:v>4194304</x:v>
      </x:c>
      <x:c r="M47" s="70" t="n">
        <x:f>0</x:f>
        <x:v>0</x:v>
      </x:c>
      <x:c r="N47" s="67" t="n">
        <x:f>IF((((1/('01_Inputs'!$E$52)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)=0,"",(((1/('01_Inputs'!$E$52)))*(0))/((((1/('01_Inputs'!$E$52)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)))</x:f>
        <x:v>0</x:v>
      </x:c>
      <x:c r="O47" s="67" t="n">
        <x:f>(((1/('01_Inputs'!$E$52)))*(0)/(('01_Inputs'!$C$33)*('02_HW'!$C$6))*('02_HW'!$C$10))</x:f>
        <x:v>0</x:v>
      </x:c>
      <x:c r="P47" s="67" t="n">
        <x:f>(((1/('01_Inputs'!$E$52)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/(('01_Inputs'!$C$34)*('02_HW'!$C$7))*('02_HW'!$C$10))</x:f>
        <x:v>0.0011335956756756758</x:v>
      </x:c>
      <x:c r="Q47" s="67" t="n">
        <x:f>(MAX((((1/('01_Inputs'!$E$52)))*(0)/(('01_Inputs'!$C$33)*('02_HW'!$C$6))*('02_HW'!$C$10)),(((1/('01_Inputs'!$E$52)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/(('01_Inputs'!$C$34)*('02_HW'!$C$7))*('02_HW'!$C$10)))+((1/('01_Inputs'!$E$52)))*('02_HW'!$C$9)*('02_HW'!$C$10))</x:f>
        <x:v>0.0011335956756756758</x:v>
      </x:c>
      <x:c r="R47" s="22" t="str">
        <x:f>IF(O47&gt;P47,"compute",IF(P47&gt;O47,"memory","balanced"))</x:f>
        <x:v>memory</x:v>
      </x:c>
      <x:c r="S47" s="25" t="str">
        <x:v>amortized decode state RMW.</x:v>
      </x:c>
    </x:row>
    <x:row r="50">
      <x:c r="A50" s="50" t="str">
        <x:v>Dependency group</x:v>
      </x:c>
      <x:c r="B50" s="51" t="str">
        <x:v>FLOPs</x:v>
      </x:c>
      <x:c r="C50" s="51" t="str">
        <x:v>HBM read B</x:v>
      </x:c>
      <x:c r="D50" s="51" t="str">
        <x:v>HBM write B</x:v>
      </x:c>
      <x:c r="E50" s="52" t="str">
        <x:v>Stagewise ms</x:v>
      </x:c>
    </x:row>
    <x:row r="51">
      <x:c r="A51" s="20" t="str">
        <x:v>Titans forward</x:v>
      </x:c>
      <x:c r="B51" s="73" t="n">
        <x:f>SUMIF($C$12:$C$47,"titans_forward",$G$12:$G$47)</x:f>
        <x:v>12886212608</x:v>
      </x:c>
      <x:c r="C51" s="73" t="n">
        <x:f>SUMIF($C$12:$C$47,"titans_forward",$K$12:$K$47)</x:f>
        <x:v>4362600448</x:v>
      </x:c>
      <x:c r="D51" s="73" t="n">
        <x:f>SUMIF($C$12:$C$47,"titans_forward",$L$12:$L$47)</x:f>
        <x:v>524288</x:v>
      </x:c>
      <x:c r="E51" s="65" t="n">
        <x:f>SUMIF($C$12:$C$47,"titans_forward",$Q$12:$Q$47)</x:f>
        <x:v>0.5896114508108108</x:v>
      </x:c>
    </x:row>
    <x:row r="52">
      <x:c r="A52" s="21" t="str">
        <x:v>CMS forward</x:v>
      </x:c>
      <x:c r="B52" s="74" t="n">
        <x:f>SUMIF($C$12:$C$47,"cms_forward",$G$12:$G$47)</x:f>
        <x:v>436221952</x:v>
      </x:c>
      <x:c r="C52" s="74" t="n">
        <x:f>SUMIF($C$12:$C$47,"cms_forward",$K$12:$K$47)</x:f>
        <x:v>219683584</x:v>
      </x:c>
      <x:c r="D52" s="74" t="n">
        <x:f>SUMIF($C$12:$C$47,"cms_forward",$L$12:$L$47)</x:f>
        <x:v>793344</x:v>
      </x:c>
      <x:c r="E52" s="66" t="n">
        <x:f>SUMIF($C$12:$C$47,"cms_forward",$Q$12:$Q$47)</x:f>
        <x:v>0.02979417945945946</x:v>
      </x:c>
    </x:row>
    <x:row r="53">
      <x:c r="A53" s="21" t="str">
        <x:v>Forward total</x:v>
      </x:c>
      <x:c r="B53" s="74" t="n">
        <x:f>SUMIF($C$12:$C$47,"titans_forward",$G$12:$G$47)+SUMIF($C$12:$C$47,"cms_forward",$G$12:$G$47)</x:f>
        <x:v>13322434560</x:v>
      </x:c>
      <x:c r="C53" s="74" t="n">
        <x:f>SUMIF($C$12:$C$47,"titans_forward",$K$12:$K$47)+SUMIF($C$12:$C$47,"cms_forward",$K$12:$K$47)</x:f>
        <x:v>4582284032</x:v>
      </x:c>
      <x:c r="D53" s="74" t="n">
        <x:f>SUMIF($C$12:$C$47,"titans_forward",$L$12:$L$47)+SUMIF($C$12:$C$47,"cms_forward",$L$12:$L$47)</x:f>
        <x:v>1317632</x:v>
      </x:c>
      <x:c r="E53" s="66" t="n">
        <x:f>SUMIF($C$12:$C$47,"titans_forward",$Q$12:$Q$47)+SUMIF($C$12:$C$47,"cms_forward",$Q$12:$Q$47)</x:f>
        <x:v>0.6194056302702703</x:v>
      </x:c>
    </x:row>
    <x:row r="54">
      <x:c r="A54" s="21" t="str">
        <x:v>Loss</x:v>
      </x:c>
      <x:c r="B54" s="74" t="n">
        <x:f>SUMIF($C$12:$C$47,"loss",$G$12:$G$47)</x:f>
        <x:v>68733632640</x:v>
      </x:c>
      <x:c r="C54" s="74" t="n">
        <x:f>SUMIF($C$12:$C$47,"loss",$K$12:$K$47)</x:f>
        <x:v>17183014912</x:v>
      </x:c>
      <x:c r="D54" s="74" t="n">
        <x:f>SUMIF($C$12:$C$47,"loss",$L$12:$L$47)</x:f>
        <x:v>1572992</x:v>
      </x:c>
      <x:c r="E54" s="66" t="n">
        <x:f>SUMIF($C$12:$C$47,"loss",$Q$12:$Q$47)</x:f>
        <x:v>2.3294065791304956</x:v>
      </x:c>
    </x:row>
    <x:row r="55">
      <x:c r="A55" s="22" t="str">
        <x:v>Backward + update</x:v>
      </x:c>
      <x:c r="B55" s="75" t="n">
        <x:f>SUMIF($C$12:$C$47,"backward_update",$G$12:$G$47)</x:f>
        <x:v>68733632640</x:v>
      </x:c>
      <x:c r="C55" s="75" t="n">
        <x:f>SUMIF($C$12:$C$47,"backward_update",$K$12:$K$47)</x:f>
        <x:v>68741759552</x:v>
      </x:c>
      <x:c r="D55" s="75" t="n">
        <x:f>SUMIF($C$12:$C$47,"backward_update",$L$12:$L$47)</x:f>
        <x:v>137459925504</x:v>
      </x:c>
      <x:c r="E55" s="67" t="n">
        <x:f>SUMIF($C$12:$C$47,"backward_update",$Q$12:$Q$47)</x:f>
        <x:v>27.86509257513513</x:v>
      </x:c>
    </x:row>
  </x:sheetData>
  <x:mergeCells>
    <x:mergeCell ref="A1:S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8" hidden="0" customWidth="1"/>
    <x:col min="7" max="7" width="15" hidden="0" customWidth="1"/>
    <x:col min="8" max="8" width="15" hidden="0" customWidth="1"/>
    <x:col min="9" max="9" width="15" hidden="0" customWidth="1"/>
    <x:col min="10" max="10" width="14" hidden="0" customWidth="1"/>
    <x:col min="11" max="11" width="13" hidden="0" customWidth="1"/>
    <x:col min="12" max="12" width="16" hidden="0" customWidth="1"/>
    <x:col min="13" max="13" width="14" hidden="0" customWidth="1"/>
    <x:col min="14" max="14" width="12" hidden="0" customWidth="1"/>
    <x:col min="15" max="15" width="12" hidden="0" customWidth="1"/>
    <x:col min="16" max="16" width="3" hidden="0" customWidth="1"/>
    <x:col min="17" max="17" width="48" hidden="0" customWidth="1"/>
    <x:col min="18" max="18" width="16" hidden="0" customWidth="1"/>
    <x:col min="19" max="19" width="20" hidden="0" customWidth="1"/>
  </x:cols>
  <x:sheetData>
    <x:row r="1" ht="28" customHeight="1">
      <x:c r="A1" s="3" t="str">
        <x:v>30 · Architecture comparison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28" customHeight="1">
      <x:c r="A2" s="7" t="str">
        <x:v>Primary prefill rows are full-sequence TTFT; decode rows are one-token ITL. Forward serving and including-online sensitivity remain separate.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</x:row>
    <x:row r="5">
      <x:c r="A5" s="14" t="str">
        <x:v>Architecture / phase</x:v>
      </x:c>
      <x:c r="B5" s="28" t="str">
        <x:v>Stagewise ms</x:v>
      </x:c>
      <x:c r="C5" s="28" t="str">
        <x:v>Aggregate ms</x:v>
      </x:c>
      <x:c r="D5" s="28" t="str">
        <x:v>Compute ms</x:v>
      </x:c>
      <x:c r="E5" s="28" t="str">
        <x:v>HBM ms</x:v>
      </x:c>
      <x:c r="F5" s="28" t="str">
        <x:v>FLOPs</x:v>
      </x:c>
      <x:c r="G5" s="28" t="str">
        <x:v>HBM read GiB</x:v>
      </x:c>
      <x:c r="H5" s="28" t="str">
        <x:v>HBM write GiB</x:v>
      </x:c>
      <x:c r="I5" s="28" t="str">
        <x:v>HBM total GiB</x:v>
      </x:c>
      <x:c r="J5" s="28" t="str">
        <x:v>AI FLOP/B</x:v>
      </x:c>
      <x:c r="K5" s="28" t="str">
        <x:v>Ridge AI</x:v>
      </x:c>
      <x:c r="L5" s="28" t="str">
        <x:v>Ridge class</x:v>
      </x:c>
      <x:c r="M5" s="28" t="str">
        <x:v>State GiB</x:v>
      </x:c>
      <x:c r="N5" s="28" t="str">
        <x:v>HBM fit</x:v>
      </x:c>
      <x:c r="O5" s="15" t="str">
        <x:v>Bound</x:v>
      </x:c>
      <x:c r="Q5" s="50" t="str">
        <x:v>Case</x:v>
      </x:c>
      <x:c r="R5" s="51" t="str">
        <x:v>AI FLOP/B</x:v>
      </x:c>
      <x:c r="S5" s="52" t="str">
        <x:v>Effective TFLOP/s</x:v>
      </x:c>
    </x:row>
    <x:row r="6">
      <x:c r="A6" s="20" t="str">
        <x:v>Attention+MoE · TTFT full ISL</x:v>
      </x:c>
      <x:c r="B6" s="65" t="n">
        <x:f>('10_AttnMoE_Prefill'!$J$3)*(1)</x:f>
        <x:v>3256.329489278666</x:v>
      </x:c>
      <x:c r="C6" s="65" t="n">
        <x:f>('10_AttnMoE_Prefill'!$I$3)*(1)</x:f>
        <x:v>3193.2814515694904</x:v>
      </x:c>
      <x:c r="D6" s="65" t="n">
        <x:f>('10_AttnMoE_Prefill'!$G$3)*(1)</x:f>
        <x:v>3193.2814515694904</x:v>
      </x:c>
      <x:c r="E6" s="65" t="n">
        <x:f>('10_AttnMoE_Prefill'!$H$3)*(1)</x:f>
        <x:v>146.30653398486487</x:v>
      </x:c>
      <x:c r="F6" s="81" t="n">
        <x:f>('10_AttnMoE_Prefill'!$A$3)*(1)</x:f>
        <x:v>14733800617541632</x:v>
      </x:c>
      <x:c r="G6" s="84" t="n">
        <x:f>(('10_AttnMoE_Prefill'!$B$3)*(1))/'02_HW'!$C$11</x:f>
        <x:v>560.2822265625</x:v>
      </x:c>
      <x:c r="H6" s="84" t="n">
        <x:f>(('10_AttnMoE_Prefill'!$C$3)*(1))/'02_HW'!$C$11</x:f>
        <x:v>448.03125</x:v>
      </x:c>
      <x:c r="I6" s="84" t="n">
        <x:f>(('10_AttnMoE_Prefill'!$D$3)*(1))/'02_HW'!$C$11</x:f>
        <x:v>1008.3134765625</x:v>
      </x:c>
      <x:c r="J6" s="84" t="n">
        <x:f>F6/(I6*('02_HW'!$C$11))</x:f>
        <x:v>13608.784811426103</x:v>
      </x:c>
      <x:c r="K6" s="84" t="n">
        <x:f>'10_AttnMoE_Prefill'!$M$3</x:f>
        <x:v>623.5135135135135</x:v>
      </x:c>
      <x:c r="L6" s="20" t="str">
        <x:f>'10_AttnMoE_Prefill'!$N$3</x:f>
        <x:v>compute-side</x:v>
      </x:c>
      <x:c r="M6" s="84" t="n">
        <x:f>'10_AttnMoE_Prefill'!$E$3/'02_HW'!$C$11</x:f>
        <x:v>64</x:v>
      </x:c>
      <x:c r="N6" s="20" t="str">
        <x:f>'10_AttnMoE_Prefill'!$L$3</x:f>
        <x:v>FIT</x:v>
      </x:c>
      <x:c r="O6" s="20" t="str">
        <x:f>'10_AttnMoE_Prefill'!$K$3</x:f>
        <x:v>compute</x:v>
      </x:c>
      <x:c r="Q6" s="20" t="str">
        <x:v>Attention+MoE · TTFT full ISL</x:v>
      </x:c>
      <x:c r="R6" s="84" t="n">
        <x:f>J6</x:f>
        <x:v>13608.784811426103</x:v>
      </x:c>
      <x:c r="S6" s="84" t="n">
        <x:f>(F6/(B6/('02_HW'!$C$10)))/'02_HW'!$C$12</x:f>
        <x:v>4524.665168574642</x:v>
      </x:c>
    </x:row>
    <x:row r="7">
      <x:c r="A7" s="21" t="str">
        <x:v>HOPE shipped · TTFT (64×2K, including online)</x:v>
      </x:c>
      <x:c r="B7" s="66" t="n">
        <x:f>('20_HOPE_Prefill'!$J$3)*('01_Inputs'!$C$9)</x:f>
        <x:v>5616.877212908342</x:v>
      </x:c>
      <x:c r="C7" s="66" t="n">
        <x:f>('20_HOPE_Prefill'!$I$3)*('01_Inputs'!$C$9)</x:f>
        <x:v>4283.5516986190905</x:v>
      </x:c>
      <x:c r="D7" s="66" t="n">
        <x:f>('20_HOPE_Prefill'!$G$3)*('01_Inputs'!$C$9)</x:f>
        <x:v>4283.5516986190905</x:v>
      </x:c>
      <x:c r="E7" s="66" t="n">
        <x:f>('20_HOPE_Prefill'!$H$3)*('01_Inputs'!$C$9)</x:f>
        <x:v>2889.9967507372976</x:v>
      </x:c>
      <x:c r="F7" s="82" t="n">
        <x:f>('20_HOPE_Prefill'!$A$3)*('01_Inputs'!$C$9)</x:f>
        <x:v>19764307537428480</x:v>
      </x:c>
      <x:c r="G7" s="85" t="n">
        <x:f>(('20_HOPE_Prefill'!$B$3)*('01_Inputs'!$C$9))/'02_HW'!$C$11</x:f>
        <x:v>9324.0703125</x:v>
      </x:c>
      <x:c r="H7" s="85" t="n">
        <x:f>(('20_HOPE_Prefill'!$C$3)*('01_Inputs'!$C$9))/'02_HW'!$C$11</x:f>
        <x:v>10593.171875</x:v>
      </x:c>
      <x:c r="I7" s="85" t="n">
        <x:f>(('20_HOPE_Prefill'!$D$3)*('01_Inputs'!$C$9))/'02_HW'!$C$11</x:f>
        <x:v>19917.2421875</x:v>
      </x:c>
      <x:c r="J7" s="85" t="n">
        <x:f>F7/(I7*('02_HW'!$C$11))</x:f>
        <x:v>924.1714092728231</x:v>
      </x:c>
      <x:c r="K7" s="85" t="n">
        <x:f>'20_HOPE_Prefill'!$M$3</x:f>
        <x:v>623.5135135135135</x:v>
      </x:c>
      <x:c r="L7" s="21" t="str">
        <x:f>'20_HOPE_Prefill'!$N$3</x:f>
        <x:v>compute-side</x:v>
      </x:c>
      <x:c r="M7" s="85" t="n">
        <x:f>'20_HOPE_Prefill'!$E$3/'02_HW'!$C$11</x:f>
        <x:v>94.11181640625</x:v>
      </x:c>
      <x:c r="N7" s="21" t="str">
        <x:f>'20_HOPE_Prefill'!$L$3</x:f>
        <x:v>EXCEEDS</x:v>
      </x:c>
      <x:c r="O7" s="21" t="str">
        <x:f>'20_HOPE_Prefill'!$K$3</x:f>
        <x:v>compute</x:v>
      </x:c>
      <x:c r="Q7" s="21" t="str">
        <x:v>HOPE shipped · TTFT (64×2K, including online)</x:v>
      </x:c>
      <x:c r="R7" s="85" t="n">
        <x:f>J7</x:f>
        <x:v>924.1714092728231</x:v>
      </x:c>
      <x:c r="S7" s="85" t="n">
        <x:f>(F7/(B7/('02_HW'!$C$10)))/'02_HW'!$C$12</x:f>
        <x:v>3518.7359075622003</x:v>
      </x:c>
    </x:row>
    <x:row r="8">
      <x:c r="A8" s="21" t="str">
        <x:v>Attention+MoE · ITL Q=1</x:v>
      </x:c>
      <x:c r="B8" s="66" t="n">
        <x:f>('11_AttnMoE_Decode'!$J$3)*(1)</x:f>
        <x:v>10.888036865046827</x:v>
      </x:c>
      <x:c r="C8" s="66" t="n">
        <x:f>('11_AttnMoE_Decode'!$I$3)*(1)</x:f>
        <x:v>10.888036865046827</x:v>
      </x:c>
      <x:c r="D8" s="66" t="n">
        <x:f>('11_AttnMoE_Decode'!$G$3)*(1)</x:f>
        <x:v>0.039401823542262675</x:v>
      </x:c>
      <x:c r="E8" s="66" t="n">
        <x:f>('11_AttnMoE_Decode'!$H$3)*(1)</x:f>
        <x:v>10.888036865046827</x:v>
      </x:c>
      <x:c r="F8" s="82" t="n">
        <x:f>('11_AttnMoE_Decode'!$A$3)*(1)</x:f>
        <x:v>181800013824</x:v>
      </x:c>
      <x:c r="G8" s="85" t="n">
        <x:f>(('11_AttnMoE_Decode'!$B$3)*(1))/'02_HW'!$C$11</x:f>
        <x:v>74.97162500149246</x:v>
      </x:c>
      <x:c r="H8" s="85" t="n">
        <x:f>(('11_AttnMoE_Decode'!$C$3)*(1))/'02_HW'!$C$11</x:f>
        <x:v>0.0664064884185791</x:v>
      </x:c>
      <x:c r="I8" s="85" t="n">
        <x:f>(('11_AttnMoE_Decode'!$D$3)*(1))/'02_HW'!$C$11</x:f>
        <x:v>75.03803148991103</x:v>
      </x:c>
      <x:c r="J8" s="85" t="n">
        <x:f>F8/(I8*('02_HW'!$C$11))</x:f>
        <x:v>2.2563819116505184</x:v>
      </x:c>
      <x:c r="K8" s="85" t="n">
        <x:f>'11_AttnMoE_Decode'!$M$3</x:f>
        <x:v>623.5135135135135</x:v>
      </x:c>
      <x:c r="L8" s="21" t="str">
        <x:f>'11_AttnMoE_Decode'!$N$3</x:f>
        <x:v>memory-side</x:v>
      </x:c>
      <x:c r="M8" s="85" t="n">
        <x:f>'11_AttnMoE_Decode'!$E$3/'02_HW'!$C$11</x:f>
        <x:v>64</x:v>
      </x:c>
      <x:c r="N8" s="21" t="str">
        <x:f>'11_AttnMoE_Decode'!$L$3</x:f>
        <x:v>FIT</x:v>
      </x:c>
      <x:c r="O8" s="21" t="str">
        <x:f>'11_AttnMoE_Decode'!$K$3</x:f>
        <x:v>memory</x:v>
      </x:c>
      <x:c r="Q8" s="21" t="str">
        <x:v>Attention+MoE · ITL Q=1</x:v>
      </x:c>
      <x:c r="R8" s="85" t="n">
        <x:f>J8</x:f>
        <x:v>2.2563819116505184</x:v>
      </x:c>
      <x:c r="S8" s="85" t="n">
        <x:f>(F8/(B8/('02_HW'!$C$10)))/'02_HW'!$C$12</x:f>
        <x:v>16.697226146213836</x:v>
      </x:c>
    </x:row>
    <x:row r="9">
      <x:c r="A9" s="22" t="str">
        <x:v>HOPE shipped · ITL Q=1 (including online)</x:v>
      </x:c>
      <x:c r="B9" s="67" t="n">
        <x:f>('21_HOPE_Decode'!$J$3)*(1)</x:f>
        <x:v>30.8139047845359</x:v>
      </x:c>
      <x:c r="C9" s="67" t="n">
        <x:f>('21_HOPE_Decode'!$I$3)*(1)</x:f>
        <x:v>30.806739814054048</x:v>
      </x:c>
      <x:c r="D9" s="67" t="n">
        <x:f>('21_HOPE_Decode'!$G$3)*(1)</x:f>
        <x:v>0.03268090590377114</x:v>
      </x:c>
      <x:c r="E9" s="67" t="n">
        <x:f>('21_HOPE_Decode'!$H$3)*(1)</x:f>
        <x:v>30.806739814054048</x:v>
      </x:c>
      <x:c r="F9" s="83" t="n">
        <x:f>('21_HOPE_Decode'!$A$3)*(1)</x:f>
        <x:v>150789699840</x:v>
      </x:c>
      <x:c r="G9" s="86" t="n">
        <x:f>(('21_HOPE_Decode'!$B$3)*(1))/'02_HW'!$C$11</x:f>
        <x:v>84.29126673936844</x:v>
      </x:c>
      <x:c r="H9" s="86" t="n">
        <x:f>(('21_HOPE_Decode'!$C$3)*(1))/'02_HW'!$C$11</x:f>
        <x:v>128.02222383022308</x:v>
      </x:c>
      <x:c r="I9" s="86" t="n">
        <x:f>(('21_HOPE_Decode'!$D$3)*(1))/'02_HW'!$C$11</x:f>
        <x:v>212.31349056959152</x:v>
      </x:c>
      <x:c r="J9" s="86" t="n">
        <x:f>F9/(I9*('02_HW'!$C$11))</x:f>
        <x:v>0.6614457286898262</x:v>
      </x:c>
      <x:c r="K9" s="86" t="n">
        <x:f>'21_HOPE_Decode'!$M$3</x:f>
        <x:v>623.5135135135135</x:v>
      </x:c>
      <x:c r="L9" s="22" t="str">
        <x:f>'21_HOPE_Decode'!$N$3</x:f>
        <x:v>memory-side</x:v>
      </x:c>
      <x:c r="M9" s="86" t="n">
        <x:f>'21_HOPE_Decode'!$E$3/'02_HW'!$C$11</x:f>
        <x:v>94.11181640625</x:v>
      </x:c>
      <x:c r="N9" s="22" t="str">
        <x:f>'21_HOPE_Decode'!$L$3</x:f>
        <x:v>EXCEEDS</x:v>
      </x:c>
      <x:c r="O9" s="22" t="str">
        <x:f>'21_HOPE_Decode'!$K$3</x:f>
        <x:v>memory</x:v>
      </x:c>
      <x:c r="Q9" s="22" t="str">
        <x:v>HOPE shipped · ITL Q=1 (including online)</x:v>
      </x:c>
      <x:c r="R9" s="86" t="n">
        <x:f>J9</x:f>
        <x:v>0.6614457286898262</x:v>
      </x:c>
      <x:c r="S9" s="86" t="n">
        <x:f>(F9/(B9/('02_HW'!$C$10)))/'02_HW'!$C$12</x:f>
        <x:v>4.893560257759819</x:v>
      </x:c>
    </x:row>
    <x:row r="12">
      <x:c r="A12" s="50" t="str">
        <x:v>Serving comparison</x:v>
      </x:c>
      <x:c r="B12" s="51" t="str">
        <x:v>First satisfying grid point</x:v>
      </x:c>
      <x:c r="C12" s="51" t="str">
        <x:v>Unit</x:v>
      </x:c>
      <x:c r="D12" s="52" t="str">
        <x:v>Rule</x:v>
      </x:c>
    </x:row>
    <x:row r="13">
      <x:c r="A13" s="20" t="str">
        <x:v>Context crossover · forward primary</x:v>
      </x:c>
      <x:c r="B13" s="20" t="n">
        <x:f>IF('40_Sweeps'!$H$6="YES",'40_Sweeps'!$A$6,IF('40_Sweeps'!$H$7="YES",'40_Sweeps'!$A$7,IF('40_Sweeps'!$H$8="YES",'40_Sweeps'!$A$8,IF('40_Sweeps'!$H$9="YES",'40_Sweeps'!$A$9,IF('40_Sweeps'!$H$10="YES",'40_Sweeps'!$A$10,IF('40_Sweeps'!$H$11="YES",'40_Sweeps'!$A$11,"None in sweep"))))))</x:f>
        <x:v>1024</x:v>
      </x:c>
      <x:c r="C13" s="20" t="str">
        <x:v>tokens</x:v>
      </x:c>
      <x:c r="D13" s="20" t="str">
        <x:v>First grid row where Attention ITL &gt;= HOPE forward ITL</x:v>
      </x:c>
    </x:row>
    <x:row r="14">
      <x:c r="A14" s="21" t="str">
        <x:v>Batch crossover · forward primary</x:v>
      </x:c>
      <x:c r="B14" s="21" t="n">
        <x:f>IF('40_Sweeps'!$H$17="YES",'40_Sweeps'!$A$17,IF('40_Sweeps'!$H$18="YES",'40_Sweeps'!$A$18,IF('40_Sweeps'!$H$19="YES",'40_Sweeps'!$A$19,IF('40_Sweeps'!$H$20="YES",'40_Sweeps'!$A$20,IF('40_Sweeps'!$H$21="YES",'40_Sweeps'!$A$21,IF('40_Sweeps'!$H$22="YES",'40_Sweeps'!$A$22,"None in sweep"))))))</x:f>
        <x:v>1</x:v>
      </x:c>
      <x:c r="C14" s="21" t="str">
        <x:v>requests</x:v>
      </x:c>
      <x:c r="D14" s="21" t="str">
        <x:v>First grid row where Attention ITL &gt;= HOPE forward ITL</x:v>
      </x:c>
    </x:row>
    <x:row r="15">
      <x:c r="A15" s="21" t="str">
        <x:v>Context crossover · including-online sensitivity</x:v>
      </x:c>
      <x:c r="B15" s="21" t="str">
        <x:f>IF('40_Sweeps'!$J$6="YES",'40_Sweeps'!$A$6,IF('40_Sweeps'!$J$7="YES",'40_Sweeps'!$A$7,IF('40_Sweeps'!$J$8="YES",'40_Sweeps'!$A$8,IF('40_Sweeps'!$J$9="YES",'40_Sweeps'!$A$9,IF('40_Sweeps'!$J$10="YES",'40_Sweeps'!$A$10,IF('40_Sweeps'!$J$11="YES",'40_Sweeps'!$A$11,"None in sweep"))))))</x:f>
        <x:v>None in sweep</x:v>
      </x:c>
      <x:c r="C15" s="21" t="str">
        <x:v>tokens</x:v>
      </x:c>
      <x:c r="D15" s="21" t="str">
        <x:v>Sensitivity: first grid row where Attention ITL &gt;= HOPE including-online ITL</x:v>
      </x:c>
    </x:row>
    <x:row r="16">
      <x:c r="A16" s="22" t="str">
        <x:v>Batch crossover · including-online sensitivity</x:v>
      </x:c>
      <x:c r="B16" s="22" t="str">
        <x:f>IF('40_Sweeps'!$J$17="YES",'40_Sweeps'!$A$17,IF('40_Sweeps'!$J$18="YES",'40_Sweeps'!$A$18,IF('40_Sweeps'!$J$19="YES",'40_Sweeps'!$A$19,IF('40_Sweeps'!$J$20="YES",'40_Sweeps'!$A$20,IF('40_Sweeps'!$J$21="YES",'40_Sweeps'!$A$21,IF('40_Sweeps'!$J$22="YES",'40_Sweeps'!$A$22,"None in sweep"))))))</x:f>
        <x:v>None in sweep</x:v>
      </x:c>
      <x:c r="C16" s="22" t="str">
        <x:v>requests</x:v>
      </x:c>
      <x:c r="D16" s="22" t="str">
        <x:v>Sensitivity: first grid row where Attention ITL &gt;= HOPE including-online ITL</x:v>
      </x:c>
    </x:row>
    <x:row r="19">
      <x:c r="A19" s="50" t="str">
        <x:v>End-to-end metric</x:v>
      </x:c>
      <x:c r="B19" s="51" t="str">
        <x:v>ms</x:v>
      </x:c>
      <x:c r="C19" s="52" t="str">
        <x:v>Definition</x:v>
      </x:c>
    </x:row>
    <x:row r="20">
      <x:c r="A20" s="20" t="str">
        <x:v>Full Attention TTFT</x:v>
      </x:c>
      <x:c r="B20" s="65" t="n">
        <x:f>'10_AttnMoE_Prefill'!$J$3</x:f>
        <x:v>3256.329489278666</x:v>
      </x:c>
      <x:c r="C20" s="20" t="str">
        <x:v>Full ISL causal invocation</x:v>
      </x:c>
    </x:row>
    <x:row r="21">
      <x:c r="A21" s="21" t="str">
        <x:v>HOPE forward TTFT</x:v>
      </x:c>
      <x:c r="B21" s="66" t="n">
        <x:f>('20_HOPE_Prefill'!$E$47)*('01_Inputs'!$C$9)</x:f>
        <x:v>539.123762358741</x:v>
      </x:c>
      <x:c r="C21" s="21" t="str">
        <x:v>64 × (Titans + CMS forward per 2K chunk)</x:v>
      </x:c>
    </x:row>
    <x:row r="22">
      <x:c r="A22" s="21" t="str">
        <x:v>HOPE including-online TTFT</x:v>
      </x:c>
      <x:c r="B22" s="66" t="n">
        <x:f>('20_HOPE_Prefill'!$J$3)*('01_Inputs'!$C$9)</x:f>
        <x:v>5616.877212908342</x:v>
      </x:c>
      <x:c r="C22" s="21" t="str">
        <x:v>64 × (forward + loss + backward/update per 2K chunk)</x:v>
      </x:c>
    </x:row>
    <x:row r="23">
      <x:c r="A23" s="21" t="str">
        <x:v>Full Attention ITL</x:v>
      </x:c>
      <x:c r="B23" s="66" t="n">
        <x:f>'11_AttnMoE_Decode'!$J$3</x:f>
        <x:v>10.888036865046827</x:v>
      </x:c>
      <x:c r="C23" s="21" t="str">
        <x:v>One Q=1 Flash-Decode invocation</x:v>
      </x:c>
    </x:row>
    <x:row r="24">
      <x:c r="A24" s="21" t="str">
        <x:v>HOPE forward ITL</x:v>
      </x:c>
      <x:c r="B24" s="66" t="n">
        <x:f>'21_HOPE_Decode'!$B$6</x:f>
        <x:v>0.6194056302702703</x:v>
      </x:c>
      <x:c r="C24" s="21" t="str">
        <x:v>One Q=1 Titans + CMS forward</x:v>
      </x:c>
    </x:row>
    <x:row r="25">
      <x:c r="A25" s="22" t="str">
        <x:v>HOPE including-online ITL</x:v>
      </x:c>
      <x:c r="B25" s="67" t="n">
        <x:f>'21_HOPE_Decode'!$B$8</x:f>
        <x:v>30.813904784535897</x:v>
      </x:c>
      <x:c r="C25" s="22" t="str">
        <x:v>One Q=1 forward + amortized online overhead; no OSL multiplier</x:v>
      </x:c>
    </x:row>
  </x:sheetData>
  <x:mergeCells>
    <x:mergeCell ref="A1:AC1"/>
    <x:mergeCell ref="A2:AC2"/>
  </x:mergeCells>
  <x:pageMargins left="0.7" right="0.7" top="0.75" bottom="0.75" header="0.3" footer="0.3"/>
  <x:drawing xmlns:r="http://schemas.openxmlformats.org/officeDocument/2006/relationships" r:id="Rc73fe9313bb64d2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0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8" customHeight="1">
      <x:c r="A1" s="3" t="str">
        <x:v>40 · Context and batch sweeps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7" t="str">
        <x:v>Forward-only ITL is the primary serving axis; including-online ITL is retained as a separate sensitivity. Imported engine values appear only on 90_QA.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</x:row>
    <x:row r="5">
      <x:c r="A5" s="14" t="str">
        <x:v>Context tokens</x:v>
      </x:c>
      <x:c r="B5" s="28" t="str">
        <x:v>Attention ITL ms</x:v>
      </x:c>
      <x:c r="C5" s="28" t="str">
        <x:v>HOPE forward ITL ms (primary)</x:v>
      </x:c>
      <x:c r="D5" s="28" t="str">
        <x:v>HOPE including-online ITL ms</x:v>
      </x:c>
      <x:c r="E5" s="28" t="str">
        <x:v>Attention state GiB</x:v>
      </x:c>
      <x:c r="F5" s="28" t="str">
        <x:v>HOPE state GiB</x:v>
      </x:c>
      <x:c r="G5" s="28" t="str">
        <x:v>Attn / HOPE forward ITL</x:v>
      </x:c>
      <x:c r="H5" s="28" t="str">
        <x:v>Forward primary crossover?</x:v>
      </x:c>
      <x:c r="I5" s="28" t="str">
        <x:v>Attn / HOPE including-online ITL</x:v>
      </x:c>
      <x:c r="J5" s="15" t="str">
        <x:v>Including-online sensitivity?</x:v>
      </x:c>
    </x:row>
    <x:row r="6">
      <x:c r="A6" s="78" t="n">
        <x:f>'01_Inputs'!$B$64</x:f>
        <x:v>1024</x:v>
      </x:c>
      <x:c r="B6" s="65" t="n">
        <x:f>SUM(C26:C38)</x:f>
        <x:v>1.655891982884663</x:v>
      </x:c>
      <x:c r="C6" s="65" t="n">
        <x:f>'21_HOPE_Decode'!$B$6</x:f>
        <x:v>0.6194056302702703</x:v>
      </x:c>
      <x:c r="D6" s="65" t="n">
        <x:f>'21_HOPE_Decode'!$B$8</x:f>
        <x:v>30.813904784535897</x:v>
      </x:c>
      <x:c r="E6" s="65" t="n">
        <x:f>(2*('01_Inputs'!$C$5)*($A$6)*('01_Inputs'!$C$15)*('01_Inputs'!$C$13)*('01_Inputs'!$C$18))/'02_HW'!$C$11</x:f>
        <x:v>0.5</x:v>
      </x:c>
      <x:c r="F6" s="65" t="n">
        <x:f>'21_HOPE_Decode'!$E$3/'02_HW'!$C$11</x:f>
        <x:v>94.11181640625</x:v>
      </x:c>
      <x:c r="G6" s="65" t="n">
        <x:f>B6/C6</x:f>
        <x:v>2.6733563628766728</x:v>
      </x:c>
      <x:c r="H6" s="20" t="str">
        <x:f>IF(B6&gt;=C6,"YES","NO")</x:f>
        <x:v>YES</x:v>
      </x:c>
      <x:c r="I6" s="65" t="n">
        <x:f>B6/D6</x:f>
        <x:v>0.05373846626915262</x:v>
      </x:c>
      <x:c r="J6" s="20" t="str">
        <x:f>IF(B6&gt;=D6,"YES","NO")</x:f>
        <x:v>NO</x:v>
      </x:c>
    </x:row>
    <x:row r="7">
      <x:c r="A7" s="79" t="n">
        <x:f>'01_Inputs'!$C$64</x:f>
        <x:v>4096</x:v>
      </x:c>
      <x:c r="B7" s="66" t="n">
        <x:f>SUM(D26:D38)</x:f>
        <x:v>1.8741135785603384</x:v>
      </x:c>
      <x:c r="C7" s="66" t="n">
        <x:f>'21_HOPE_Decode'!$B$6</x:f>
        <x:v>0.6194056302702703</x:v>
      </x:c>
      <x:c r="D7" s="66" t="n">
        <x:f>'21_HOPE_Decode'!$B$8</x:f>
        <x:v>30.813904784535897</x:v>
      </x:c>
      <x:c r="E7" s="66" t="n">
        <x:f>(2*('01_Inputs'!$C$5)*($A$7)*('01_Inputs'!$C$15)*('01_Inputs'!$C$13)*('01_Inputs'!$C$18))/'02_HW'!$C$11</x:f>
        <x:v>2</x:v>
      </x:c>
      <x:c r="F7" s="66" t="n">
        <x:f>'21_HOPE_Decode'!$E$3/'02_HW'!$C$11</x:f>
        <x:v>94.11181640625</x:v>
      </x:c>
      <x:c r="G7" s="66" t="n">
        <x:f>B7/C7</x:f>
        <x:v>3.0256644224279836</x:v>
      </x:c>
      <x:c r="H7" s="21" t="str">
        <x:f>IF(B7&gt;=C7,"YES","NO")</x:f>
        <x:v>YES</x:v>
      </x:c>
      <x:c r="I7" s="66" t="n">
        <x:f>B7/D7</x:f>
        <x:v>0.06082038585063945</x:v>
      </x:c>
      <x:c r="J7" s="21" t="str">
        <x:f>IF(B7&gt;=D7,"YES","NO")</x:f>
        <x:v>NO</x:v>
      </x:c>
    </x:row>
    <x:row r="8">
      <x:c r="A8" s="79" t="n">
        <x:f>'01_Inputs'!$D$64</x:f>
        <x:v>16384</x:v>
      </x:c>
      <x:c r="B8" s="66" t="n">
        <x:f>SUM(E26:E38)</x:f>
        <x:v>2.746428735317095</x:v>
      </x:c>
      <x:c r="C8" s="66" t="n">
        <x:f>'21_HOPE_Decode'!$B$6</x:f>
        <x:v>0.6194056302702703</x:v>
      </x:c>
      <x:c r="D8" s="66" t="n">
        <x:f>'21_HOPE_Decode'!$B$8</x:f>
        <x:v>30.813904784535897</x:v>
      </x:c>
      <x:c r="E8" s="66" t="n">
        <x:f>(2*('01_Inputs'!$C$5)*($A$8)*('01_Inputs'!$C$15)*('01_Inputs'!$C$13)*('01_Inputs'!$C$18))/'02_HW'!$C$11</x:f>
        <x:v>8</x:v>
      </x:c>
      <x:c r="F8" s="66" t="n">
        <x:f>'21_HOPE_Decode'!$E$3/'02_HW'!$C$11</x:f>
        <x:v>94.11181640625</x:v>
      </x:c>
      <x:c r="G8" s="66" t="n">
        <x:f>B8/C8</x:f>
        <x:v>4.433974444369715</x:v>
      </x:c>
      <x:c r="H8" s="21" t="str">
        <x:f>IF(B8&gt;=C8,"YES","NO")</x:f>
        <x:v>YES</x:v>
      </x:c>
      <x:c r="I8" s="66" t="n">
        <x:f>B8/D8</x:f>
        <x:v>0.08912952624866302</x:v>
      </x:c>
      <x:c r="J8" s="21" t="str">
        <x:f>IF(B8&gt;=D8,"YES","NO")</x:f>
        <x:v>NO</x:v>
      </x:c>
    </x:row>
    <x:row r="9">
      <x:c r="A9" s="79" t="n">
        <x:f>'01_Inputs'!$E$64</x:f>
        <x:v>65536</x:v>
      </x:c>
      <x:c r="B9" s="66" t="n">
        <x:f>SUM(F26:F38)</x:f>
        <x:v>6.2356893623441225</x:v>
      </x:c>
      <x:c r="C9" s="66" t="n">
        <x:f>'21_HOPE_Decode'!$B$6</x:f>
        <x:v>0.6194056302702703</x:v>
      </x:c>
      <x:c r="D9" s="66" t="n">
        <x:f>'21_HOPE_Decode'!$B$8</x:f>
        <x:v>30.813904784535897</x:v>
      </x:c>
      <x:c r="E9" s="66" t="n">
        <x:f>(2*('01_Inputs'!$C$5)*($A$9)*('01_Inputs'!$C$15)*('01_Inputs'!$C$13)*('01_Inputs'!$C$18))/'02_HW'!$C$11</x:f>
        <x:v>32</x:v>
      </x:c>
      <x:c r="F9" s="66" t="n">
        <x:f>'21_HOPE_Decode'!$E$3/'02_HW'!$C$11</x:f>
        <x:v>94.11181640625</x:v>
      </x:c>
      <x:c r="G9" s="66" t="n">
        <x:f>B9/C9</x:f>
        <x:v>10.067214532136644</x:v>
      </x:c>
      <x:c r="H9" s="21" t="str">
        <x:f>IF(B9&gt;=C9,"YES","NO")</x:f>
        <x:v>YES</x:v>
      </x:c>
      <x:c r="I9" s="66" t="n">
        <x:f>B9/D9</x:f>
        <x:v>0.2023660878407573</x:v>
      </x:c>
      <x:c r="J9" s="21" t="str">
        <x:f>IF(B9&gt;=D9,"YES","NO")</x:f>
        <x:v>NO</x:v>
      </x:c>
    </x:row>
    <x:row r="10">
      <x:c r="A10" s="79" t="n">
        <x:f>'01_Inputs'!$F$64</x:f>
        <x:v>131072</x:v>
      </x:c>
      <x:c r="B10" s="66" t="n">
        <x:f>SUM(G26:G38)</x:f>
        <x:v>10.888036865046827</x:v>
      </x:c>
      <x:c r="C10" s="66" t="n">
        <x:f>'21_HOPE_Decode'!$B$6</x:f>
        <x:v>0.6194056302702703</x:v>
      </x:c>
      <x:c r="D10" s="66" t="n">
        <x:f>'21_HOPE_Decode'!$B$8</x:f>
        <x:v>30.813904784535897</x:v>
      </x:c>
      <x:c r="E10" s="66" t="n">
        <x:f>(2*('01_Inputs'!$C$5)*($A$10)*('01_Inputs'!$C$15)*('01_Inputs'!$C$13)*('01_Inputs'!$C$18))/'02_HW'!$C$11</x:f>
        <x:v>64</x:v>
      </x:c>
      <x:c r="F10" s="66" t="n">
        <x:f>'21_HOPE_Decode'!$E$3/'02_HW'!$C$11</x:f>
        <x:v>94.11181640625</x:v>
      </x:c>
      <x:c r="G10" s="66" t="n">
        <x:f>B10/C10</x:f>
        <x:v>17.578201315825886</x:v>
      </x:c>
      <x:c r="H10" s="21" t="str">
        <x:f>IF(B10&gt;=C10,"YES","NO")</x:f>
        <x:v>YES</x:v>
      </x:c>
      <x:c r="I10" s="66" t="n">
        <x:f>B10/D10</x:f>
        <x:v>0.3533481699635497</x:v>
      </x:c>
      <x:c r="J10" s="21" t="str">
        <x:f>IF(B10&gt;=D10,"YES","NO")</x:f>
        <x:v>NO</x:v>
      </x:c>
    </x:row>
    <x:row r="11">
      <x:c r="A11" s="80" t="n">
        <x:f>'01_Inputs'!$G$64</x:f>
        <x:v>262144</x:v>
      </x:c>
      <x:c r="B11" s="67" t="n">
        <x:f>SUM(H26:H38)</x:f>
        <x:v>20.192731870452235</x:v>
      </x:c>
      <x:c r="C11" s="67" t="n">
        <x:f>'21_HOPE_Decode'!$B$6</x:f>
        <x:v>0.6194056302702703</x:v>
      </x:c>
      <x:c r="D11" s="67" t="n">
        <x:f>'21_HOPE_Decode'!$B$8</x:f>
        <x:v>30.813904784535897</x:v>
      </x:c>
      <x:c r="E11" s="67" t="n">
        <x:f>(2*('01_Inputs'!$C$5)*($A$11)*('01_Inputs'!$C$15)*('01_Inputs'!$C$13)*('01_Inputs'!$C$18))/'02_HW'!$C$11</x:f>
        <x:v>128</x:v>
      </x:c>
      <x:c r="F11" s="67" t="n">
        <x:f>'21_HOPE_Decode'!$E$3/'02_HW'!$C$11</x:f>
        <x:v>94.11181640625</x:v>
      </x:c>
      <x:c r="G11" s="67" t="n">
        <x:f>B11/C11</x:f>
        <x:v>32.60017488320437</x:v>
      </x:c>
      <x:c r="H11" s="22" t="str">
        <x:f>IF(B11&gt;=C11,"YES","NO")</x:f>
        <x:v>YES</x:v>
      </x:c>
      <x:c r="I11" s="67" t="n">
        <x:f>B11/D11</x:f>
        <x:v>0.6553123342091345</x:v>
      </x:c>
      <x:c r="J11" s="22" t="str">
        <x:f>IF(B11&gt;=D11,"YES","NO")</x:f>
        <x:v>NO</x:v>
      </x:c>
    </x:row>
    <x:row r="16">
      <x:c r="A16" s="14" t="str">
        <x:v>Batch</x:v>
      </x:c>
      <x:c r="B16" s="28" t="str">
        <x:v>Attention ITL ms</x:v>
      </x:c>
      <x:c r="C16" s="28" t="str">
        <x:v>HOPE forward ITL ms (primary)</x:v>
      </x:c>
      <x:c r="D16" s="28" t="str">
        <x:v>HOPE including-online ITL ms</x:v>
      </x:c>
      <x:c r="E16" s="28" t="str">
        <x:v>Attention state GiB</x:v>
      </x:c>
      <x:c r="F16" s="28" t="str">
        <x:v>HOPE state GiB</x:v>
      </x:c>
      <x:c r="G16" s="28" t="str">
        <x:v>Attn / HOPE forward ITL</x:v>
      </x:c>
      <x:c r="H16" s="28" t="str">
        <x:v>Forward primary crossover?</x:v>
      </x:c>
      <x:c r="I16" s="28" t="str">
        <x:v>Attn / HOPE including-online ITL</x:v>
      </x:c>
      <x:c r="J16" s="15" t="str">
        <x:v>Including-online sensitivity?</x:v>
      </x:c>
    </x:row>
    <x:row r="17">
      <x:c r="A17" s="78" t="n">
        <x:f>'01_Inputs'!$B$65</x:f>
        <x:v>1</x:v>
      </x:c>
      <x:c r="B17" s="65" t="n">
        <x:f>SUM(I$26:I$38)</x:f>
        <x:v>0.3816320713513514</x:v>
      </x:c>
      <x:c r="C17" s="65" t="n">
        <x:f>SUMIF($A$42:$A$77,"titans_forward",C$42:C$77)+SUMIF($A$42:$A$77,"cms_forward",C$42:C$77)</x:f>
        <x:v>0.028141792432432432</x:v>
      </x:c>
      <x:c r="D17" s="65" t="n">
        <x:f>SUM(C$42:C$77)</x:f>
        <x:v>0.9717198910032334</x:v>
      </x:c>
      <x:c r="E17" s="65" t="n">
        <x:f>(2*($A$17)*('01_Inputs'!$C$11)*('01_Inputs'!$C$15)*('01_Inputs'!$C$13)*('01_Inputs'!$C$18))/'02_HW'!$C$11</x:f>
        <x:v>2</x:v>
      </x:c>
      <x:c r="F17" s="65" t="n">
        <x:f>('21_HOPE_Decode'!$E$3)*($A$17)/('01_Inputs'!$C$5)/'02_HW'!$C$11</x:f>
        <x:v>2.9409942626953125</x:v>
      </x:c>
      <x:c r="G17" s="65" t="n">
        <x:f>B17/C17</x:f>
        <x:v>13.561043500254582</x:v>
      </x:c>
      <x:c r="H17" s="20" t="str">
        <x:f>IF(B17&gt;=C17,"YES","NO")</x:f>
        <x:v>YES</x:v>
      </x:c>
      <x:c r="I17" s="65" t="n">
        <x:f>B17/D17</x:f>
        <x:v>0.3927387664745061</x:v>
      </x:c>
      <x:c r="J17" s="20" t="str">
        <x:f>IF(B17&gt;=D17,"YES","NO")</x:f>
        <x:v>NO</x:v>
      </x:c>
    </x:row>
    <x:row r="18">
      <x:c r="A18" s="79" t="n">
        <x:f>'01_Inputs'!$C$65</x:f>
        <x:v>2</x:v>
      </x:c>
      <x:c r="B18" s="66" t="n">
        <x:f>SUM(J$26:J$38)</x:f>
        <x:v>0.7264222832432432</x:v>
      </x:c>
      <x:c r="C18" s="66" t="n">
        <x:f>SUMIF($A$42:$A$77,"titans_forward",D$42:D$77)+SUMIF($A$42:$A$77,"cms_forward",D$42:D$77)</x:f>
        <x:v>0.047214819459459455</x:v>
      </x:c>
      <x:c r="D18" s="66" t="n">
        <x:f>SUM(D$42:D$77)</x:f>
        <x:v>1.934371016601061</x:v>
      </x:c>
      <x:c r="E18" s="66" t="n">
        <x:f>(2*($A$18)*('01_Inputs'!$C$11)*('01_Inputs'!$C$15)*('01_Inputs'!$C$13)*('01_Inputs'!$C$18))/'02_HW'!$C$11</x:f>
        <x:v>4</x:v>
      </x:c>
      <x:c r="F18" s="66" t="n">
        <x:f>('21_HOPE_Decode'!$E$3)*($A$18)/('01_Inputs'!$C$5)/'02_HW'!$C$11</x:f>
        <x:v>5.881988525390625</x:v>
      </x:c>
      <x:c r="G18" s="66" t="n">
        <x:f>B18/C18</x:f>
        <x:v>15.385472009841711</x:v>
      </x:c>
      <x:c r="H18" s="21" t="str">
        <x:f>IF(B18&gt;=C18,"YES","NO")</x:f>
        <x:v>YES</x:v>
      </x:c>
      <x:c r="I18" s="66" t="n">
        <x:f>B18/D18</x:f>
        <x:v>0.3755341023045624</x:v>
      </x:c>
      <x:c r="J18" s="21" t="str">
        <x:f>IF(B18&gt;=D18,"YES","NO")</x:f>
        <x:v>NO</x:v>
      </x:c>
    </x:row>
    <x:row r="19">
      <x:c r="A19" s="79" t="n">
        <x:f>'01_Inputs'!$D$65</x:f>
        <x:v>4</x:v>
      </x:c>
      <x:c r="B19" s="66" t="n">
        <x:f>SUM(K$26:K$38)</x:f>
        <x:v>1.41474067027027</x:v>
      </x:c>
      <x:c r="C19" s="66" t="n">
        <x:f>SUMIF($A$42:$A$77,"titans_forward",E$42:E$77)+SUMIF($A$42:$A$77,"cms_forward",E$42:E$77)</x:f>
        <x:v>0.08536087351351351</x:v>
      </x:c>
      <x:c r="D19" s="66" t="n">
        <x:f>SUM(E$42:E$77)</x:f>
        <x:v>3.859673267796717</x:v>
      </x:c>
      <x:c r="E19" s="66" t="n">
        <x:f>(2*($A$19)*('01_Inputs'!$C$11)*('01_Inputs'!$C$15)*('01_Inputs'!$C$13)*('01_Inputs'!$C$18))/'02_HW'!$C$11</x:f>
        <x:v>8</x:v>
      </x:c>
      <x:c r="F19" s="66" t="n">
        <x:f>('21_HOPE_Decode'!$E$3)*($A$19)/('01_Inputs'!$C$5)/'02_HW'!$C$11</x:f>
        <x:v>11.76397705078125</x:v>
      </x:c>
      <x:c r="G19" s="66" t="n">
        <x:f>B19/C19</x:f>
        <x:v>16.573643310319476</x:v>
      </x:c>
      <x:c r="H19" s="21" t="str">
        <x:f>IF(B19&gt;=C19,"YES","NO")</x:f>
        <x:v>YES</x:v>
      </x:c>
      <x:c r="I19" s="66" t="n">
        <x:f>B19/D19</x:f>
        <x:v>0.36654415338059704</x:v>
      </x:c>
      <x:c r="J19" s="21" t="str">
        <x:f>IF(B19&gt;=D19,"YES","NO")</x:f>
        <x:v>NO</x:v>
      </x:c>
    </x:row>
    <x:row r="20">
      <x:c r="A20" s="79" t="n">
        <x:f>'01_Inputs'!$E$65</x:f>
        <x:v>8</x:v>
      </x:c>
      <x:c r="B20" s="66" t="n">
        <x:f>SUM(L$26:L$38)</x:f>
        <x:v>2.7864206642800817</x:v>
      </x:c>
      <x:c r="C20" s="66" t="n">
        <x:f>SUMIF($A$42:$A$77,"titans_forward",F$42:F$77)+SUMIF($A$42:$A$77,"cms_forward",F$42:F$77)</x:f>
        <x:v>0.16165298162162162</x:v>
      </x:c>
      <x:c r="D20" s="66" t="n">
        <x:f>SUM(F$42:F$77)</x:f>
        <x:v>7.7102777701880285</x:v>
      </x:c>
      <x:c r="E20" s="66" t="n">
        <x:f>(2*($A$20)*('01_Inputs'!$C$11)*('01_Inputs'!$C$15)*('01_Inputs'!$C$13)*('01_Inputs'!$C$18))/'02_HW'!$C$11</x:f>
        <x:v>16</x:v>
      </x:c>
      <x:c r="F20" s="66" t="n">
        <x:f>('21_HOPE_Decode'!$E$3)*($A$20)/('01_Inputs'!$C$5)/'02_HW'!$C$11</x:f>
        <x:v>23.5279541015625</x:v>
      </x:c>
      <x:c r="G20" s="66" t="n">
        <x:f>B20/C20</x:f>
        <x:v>17.237050850087066</x:v>
      </x:c>
      <x:c r="H20" s="21" t="str">
        <x:f>IF(B20&gt;=C20,"YES","NO")</x:f>
        <x:v>YES</x:v>
      </x:c>
      <x:c r="I20" s="66" t="n">
        <x:f>B20/D20</x:f>
        <x:v>0.36139043849416724</x:v>
      </x:c>
      <x:c r="J20" s="21" t="str">
        <x:f>IF(B20&gt;=D20,"YES","NO")</x:f>
        <x:v>NO</x:v>
      </x:c>
    </x:row>
    <x:row r="21">
      <x:c r="A21" s="79" t="n">
        <x:f>'01_Inputs'!$F$65</x:f>
        <x:v>16</x:v>
      </x:c>
      <x:c r="B21" s="66" t="n">
        <x:f>SUM(M$26:M$38)</x:f>
        <x:v>5.510663376647901</x:v>
      </x:c>
      <x:c r="C21" s="66" t="n">
        <x:f>SUMIF($A$42:$A$77,"titans_forward",G$42:G$77)+SUMIF($A$42:$A$77,"cms_forward",G$42:G$77)</x:f>
        <x:v>0.3142371978378378</x:v>
      </x:c>
      <x:c r="D21" s="66" t="n">
        <x:f>SUM(G$42:G$77)</x:f>
        <x:v>15.411486774970651</x:v>
      </x:c>
      <x:c r="E21" s="66" t="n">
        <x:f>(2*($A$21)*('01_Inputs'!$C$11)*('01_Inputs'!$C$15)*('01_Inputs'!$C$13)*('01_Inputs'!$C$18))/'02_HW'!$C$11</x:f>
        <x:v>32</x:v>
      </x:c>
      <x:c r="F21" s="66" t="n">
        <x:f>('21_HOPE_Decode'!$E$3)*($A$21)/('01_Inputs'!$C$5)/'02_HW'!$C$11</x:f>
        <x:v>47.055908203125</x:v>
      </x:c>
      <x:c r="G21" s="66" t="n">
        <x:f>B21/C21</x:f>
        <x:v>17.53663606525565</x:v>
      </x:c>
      <x:c r="H21" s="21" t="str">
        <x:f>IF(B21&gt;=C21,"YES","NO")</x:f>
        <x:v>YES</x:v>
      </x:c>
      <x:c r="I21" s="66" t="n">
        <x:f>B21/D21</x:f>
        <x:v>0.3575685757715219</x:v>
      </x:c>
      <x:c r="J21" s="21" t="str">
        <x:f>IF(B21&gt;=D21,"YES","NO")</x:f>
        <x:v>NO</x:v>
      </x:c>
    </x:row>
    <x:row r="22">
      <x:c r="A22" s="80" t="n">
        <x:f>'01_Inputs'!$G$65</x:f>
        <x:v>32</x:v>
      </x:c>
      <x:c r="B22" s="67" t="n">
        <x:f>SUM(N$26:N$38)</x:f>
        <x:v>10.888036865046827</x:v>
      </x:c>
      <x:c r="C22" s="67" t="n">
        <x:f>SUMIF($A$42:$A$77,"titans_forward",H$42:H$77)+SUMIF($A$42:$A$77,"cms_forward",H$42:H$77)</x:f>
        <x:v>0.6194056302702703</x:v>
      </x:c>
      <x:c r="D22" s="67" t="n">
        <x:f>SUM(H$42:H$77)</x:f>
        <x:v>30.8139047845359</x:v>
      </x:c>
      <x:c r="E22" s="67" t="n">
        <x:f>(2*($A$22)*('01_Inputs'!$C$11)*('01_Inputs'!$C$15)*('01_Inputs'!$C$13)*('01_Inputs'!$C$18))/'02_HW'!$C$11</x:f>
        <x:v>64</x:v>
      </x:c>
      <x:c r="F22" s="67" t="n">
        <x:f>('21_HOPE_Decode'!$E$3)*($A$22)/('01_Inputs'!$C$5)/'02_HW'!$C$11</x:f>
        <x:v>94.11181640625</x:v>
      </x:c>
      <x:c r="G22" s="67" t="n">
        <x:f>B22/C22</x:f>
        <x:v>17.578201315825886</x:v>
      </x:c>
      <x:c r="H22" s="22" t="str">
        <x:f>IF(B22&gt;=C22,"YES","NO")</x:f>
        <x:v>YES</x:v>
      </x:c>
      <x:c r="I22" s="67" t="n">
        <x:f>B22/D22</x:f>
        <x:v>0.3533481699635496</x:v>
      </x:c>
      <x:c r="J22" s="22" t="str">
        <x:f>IF(B22&gt;=D22,"YES","NO")</x:f>
        <x:v>NO</x:v>
      </x:c>
    </x:row>
    <x:row r="25">
      <x:c r="A25" s="50" t="str">
        <x:v>Component</x:v>
      </x:c>
      <x:c r="B25" s="51" t="str">
        <x:v>Attention stage</x:v>
      </x:c>
      <x:c r="C25" s="76" t="n">
        <x:f>'01_Inputs'!$B$64</x:f>
        <x:v>1024</x:v>
      </x:c>
      <x:c r="D25" s="76" t="n">
        <x:f>'01_Inputs'!$C$64</x:f>
        <x:v>4096</x:v>
      </x:c>
      <x:c r="E25" s="76" t="n">
        <x:f>'01_Inputs'!$D$64</x:f>
        <x:v>16384</x:v>
      </x:c>
      <x:c r="F25" s="76" t="n">
        <x:f>'01_Inputs'!$E$64</x:f>
        <x:v>65536</x:v>
      </x:c>
      <x:c r="G25" s="76" t="n">
        <x:f>'01_Inputs'!$F$64</x:f>
        <x:v>131072</x:v>
      </x:c>
      <x:c r="H25" s="76" t="n">
        <x:f>'01_Inputs'!$G$64</x:f>
        <x:v>262144</x:v>
      </x:c>
      <x:c r="I25" s="76" t="n">
        <x:f>'01_Inputs'!$B$65</x:f>
        <x:v>1</x:v>
      </x:c>
      <x:c r="J25" s="76" t="n">
        <x:f>'01_Inputs'!$C$65</x:f>
        <x:v>2</x:v>
      </x:c>
      <x:c r="K25" s="76" t="n">
        <x:f>'01_Inputs'!$D$65</x:f>
        <x:v>4</x:v>
      </x:c>
      <x:c r="L25" s="76" t="n">
        <x:f>'01_Inputs'!$E$65</x:f>
        <x:v>8</x:v>
      </x:c>
      <x:c r="M25" s="76" t="n">
        <x:f>'01_Inputs'!$F$65</x:f>
        <x:v>16</x:v>
      </x:c>
      <x:c r="N25" s="77" t="n">
        <x:f>'01_Inputs'!$G$65</x:f>
        <x:v>32</x:v>
      </x:c>
    </x:row>
    <x:row r="26">
      <x:c r="A26" s="20" t="str">
        <x:v>attention</x:v>
      </x:c>
      <x:c r="B26" s="20" t="str">
        <x:v>qkv_projection</x:v>
      </x:c>
      <x:c r="C26" s="65" t="n">
        <x:f>(MAX(((1)*((2*((('01_Inputs'!$C$5)*('01_Inputs'!$C$10)))*('01_Inputs'!$C$12)*(((('01_Inputs'!$C$14)*('01_Inputs'!$C$13)))+2*((('01_Inputs'!$C$15)*('01_Inputs'!$C$13))))))/(('01_Inputs'!$C$33)*('02_HW'!$C$6))*('02_HW'!$C$10)),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)+(1)*('02_HW'!$C$9)*('02_HW'!$C$10))</x:f>
        <x:v>0.027277145945945946</x:v>
      </x:c>
      <x:c r="D26" s="65" t="n">
        <x:f>(MAX(((1)*((2*((('01_Inputs'!$C$5)*('01_Inputs'!$C$10)))*('01_Inputs'!$C$12)*(((('01_Inputs'!$C$14)*('01_Inputs'!$C$13)))+2*((('01_Inputs'!$C$15)*('01_Inputs'!$C$13))))))/(('01_Inputs'!$C$33)*('02_HW'!$C$6))*('02_HW'!$C$10)),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)+(1)*('02_HW'!$C$9)*('02_HW'!$C$10))</x:f>
        <x:v>0.027277145945945946</x:v>
      </x:c>
      <x:c r="E26" s="65" t="n">
        <x:f>(MAX(((1)*((2*((('01_Inputs'!$C$5)*('01_Inputs'!$C$10)))*('01_Inputs'!$C$12)*(((('01_Inputs'!$C$14)*('01_Inputs'!$C$13)))+2*((('01_Inputs'!$C$15)*('01_Inputs'!$C$13))))))/(('01_Inputs'!$C$33)*('02_HW'!$C$6))*('02_HW'!$C$10)),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)+(1)*('02_HW'!$C$9)*('02_HW'!$C$10))</x:f>
        <x:v>0.027277145945945946</x:v>
      </x:c>
      <x:c r="F26" s="65" t="n">
        <x:f>(MAX(((1)*((2*((('01_Inputs'!$C$5)*('01_Inputs'!$C$10)))*('01_Inputs'!$C$12)*(((('01_Inputs'!$C$14)*('01_Inputs'!$C$13)))+2*((('01_Inputs'!$C$15)*('01_Inputs'!$C$13))))))/(('01_Inputs'!$C$33)*('02_HW'!$C$6))*('02_HW'!$C$10)),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)+(1)*('02_HW'!$C$9)*('02_HW'!$C$10))</x:f>
        <x:v>0.027277145945945946</x:v>
      </x:c>
      <x:c r="G26" s="65" t="n">
        <x:f>(MAX(((1)*((2*((('01_Inputs'!$C$5)*('01_Inputs'!$C$10)))*('01_Inputs'!$C$12)*(((('01_Inputs'!$C$14)*('01_Inputs'!$C$13)))+2*((('01_Inputs'!$C$15)*('01_Inputs'!$C$13))))))/(('01_Inputs'!$C$33)*('02_HW'!$C$6))*('02_HW'!$C$10)),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)+(1)*('02_HW'!$C$9)*('02_HW'!$C$10))</x:f>
        <x:v>0.027277145945945946</x:v>
      </x:c>
      <x:c r="H26" s="65" t="n">
        <x:f>(MAX(((1)*((2*((('01_Inputs'!$C$5)*('01_Inputs'!$C$10)))*('01_Inputs'!$C$12)*(((('01_Inputs'!$C$14)*('01_Inputs'!$C$13)))+2*((('01_Inputs'!$C$15)*('01_Inputs'!$C$13))))))/(('01_Inputs'!$C$33)*('02_HW'!$C$6))*('02_HW'!$C$10)),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)+(1)*('02_HW'!$C$9)*('02_HW'!$C$10))</x:f>
        <x:v>0.027277145945945946</x:v>
      </x:c>
      <x:c r="I26" s="65" t="n">
        <x:f>(MAX(((1)*((2*((('01_Inputs'!$B$65)*('01_Inputs'!$C$10)))*('01_Inputs'!$C$12)*(((('01_Inputs'!$C$14)*('01_Inputs'!$C$13)))+2*((('01_Inputs'!$C$15)*('01_Inputs'!$C$13))))))/(('01_Inputs'!$C$33)*('02_HW'!$C$6))*('02_HW'!$C$10)),((1)*(((((('01_Inputs'!$B$65)*('01_Inputs'!$C$10)))*('01_Inputs'!$C$12)*('01_Inputs'!$C$16)+('01_Inputs'!$C$12)*(((('01_Inputs'!$C$14)*('01_Inputs'!$C$13)))+2*((('01_Inputs'!$C$15)*('01_Inputs'!$C$13))))*('01_Inputs'!$C$17)))+(0)+((((('01_Inputs'!$B$65)*('01_Inputs'!$C$10)))*((('01_Inputs'!$C$14)*('01_Inputs'!$C$13)))*('01_Inputs'!$C$16))))/(('01_Inputs'!$C$34)*('02_HW'!$C$7))*('02_HW'!$C$10)))+(1)*('02_HW'!$C$9)*('02_HW'!$C$10))</x:f>
        <x:v>0.02720851027027027</x:v>
      </x:c>
      <x:c r="J26" s="65" t="n">
        <x:f>(MAX(((1)*((2*((('01_Inputs'!$C$65)*('01_Inputs'!$C$10)))*('01_Inputs'!$C$12)*(((('01_Inputs'!$C$14)*('01_Inputs'!$C$13)))+2*((('01_Inputs'!$C$15)*('01_Inputs'!$C$13))))))/(('01_Inputs'!$C$33)*('02_HW'!$C$6))*('02_HW'!$C$10)),((1)*(((((('01_Inputs'!$C$65)*('01_Inputs'!$C$10)))*('01_Inputs'!$C$12)*('01_Inputs'!$C$16)+('01_Inputs'!$C$12)*(((('01_Inputs'!$C$14)*('01_Inputs'!$C$13)))+2*((('01_Inputs'!$C$15)*('01_Inputs'!$C$13))))*('01_Inputs'!$C$17)))+(0)+((((('01_Inputs'!$C$65)*('01_Inputs'!$C$10)))*((('01_Inputs'!$C$14)*('01_Inputs'!$C$13)))*('01_Inputs'!$C$16))))/(('01_Inputs'!$C$34)*('02_HW'!$C$7))*('02_HW'!$C$10)))+(1)*('02_HW'!$C$9)*('02_HW'!$C$10))</x:f>
        <x:v>0.027210724324324323</x:v>
      </x:c>
      <x:c r="K26" s="65" t="n">
        <x:f>(MAX(((1)*((2*((('01_Inputs'!$D$65)*('01_Inputs'!$C$10)))*('01_Inputs'!$C$12)*(((('01_Inputs'!$C$14)*('01_Inputs'!$C$13)))+2*((('01_Inputs'!$C$15)*('01_Inputs'!$C$13))))))/(('01_Inputs'!$C$33)*('02_HW'!$C$6))*('02_HW'!$C$10)),((1)*(((((('01_Inputs'!$D$65)*('01_Inputs'!$C$10)))*('01_Inputs'!$C$12)*('01_Inputs'!$C$16)+('01_Inputs'!$C$12)*(((('01_Inputs'!$C$14)*('01_Inputs'!$C$13)))+2*((('01_Inputs'!$C$15)*('01_Inputs'!$C$13))))*('01_Inputs'!$C$17)))+(0)+((((('01_Inputs'!$D$65)*('01_Inputs'!$C$10)))*((('01_Inputs'!$C$14)*('01_Inputs'!$C$13)))*('01_Inputs'!$C$16))))/(('01_Inputs'!$C$34)*('02_HW'!$C$7))*('02_HW'!$C$10)))+(1)*('02_HW'!$C$9)*('02_HW'!$C$10))</x:f>
        <x:v>0.027215152432432433</x:v>
      </x:c>
      <x:c r="L26" s="65" t="n">
        <x:f>(MAX(((1)*((2*((('01_Inputs'!$E$65)*('01_Inputs'!$C$10)))*('01_Inputs'!$C$12)*(((('01_Inputs'!$C$14)*('01_Inputs'!$C$13)))+2*((('01_Inputs'!$C$15)*('01_Inputs'!$C$13))))))/(('01_Inputs'!$C$33)*('02_HW'!$C$6))*('02_HW'!$C$10)),((1)*(((((('01_Inputs'!$E$65)*('01_Inputs'!$C$10)))*('01_Inputs'!$C$12)*('01_Inputs'!$C$16)+('01_Inputs'!$C$12)*(((('01_Inputs'!$C$14)*('01_Inputs'!$C$13)))+2*((('01_Inputs'!$C$15)*('01_Inputs'!$C$13))))*('01_Inputs'!$C$17)))+(0)+((((('01_Inputs'!$E$65)*('01_Inputs'!$C$10)))*((('01_Inputs'!$C$14)*('01_Inputs'!$C$13)))*('01_Inputs'!$C$16))))/(('01_Inputs'!$C$34)*('02_HW'!$C$7))*('02_HW'!$C$10)))+(1)*('02_HW'!$C$9)*('02_HW'!$C$10))</x:f>
        <x:v>0.02722400864864865</x:v>
      </x:c>
      <x:c r="M26" s="65" t="n">
        <x:f>(MAX(((1)*((2*((('01_Inputs'!$F$65)*('01_Inputs'!$C$10)))*('01_Inputs'!$C$12)*(((('01_Inputs'!$C$14)*('01_Inputs'!$C$13)))+2*((('01_Inputs'!$C$15)*('01_Inputs'!$C$13))))))/(('01_Inputs'!$C$33)*('02_HW'!$C$6))*('02_HW'!$C$10)),((1)*(((((('01_Inputs'!$F$65)*('01_Inputs'!$C$10)))*('01_Inputs'!$C$12)*('01_Inputs'!$C$16)+('01_Inputs'!$C$12)*(((('01_Inputs'!$C$14)*('01_Inputs'!$C$13)))+2*((('01_Inputs'!$C$15)*('01_Inputs'!$C$13))))*('01_Inputs'!$C$17)))+(0)+((((('01_Inputs'!$F$65)*('01_Inputs'!$C$10)))*((('01_Inputs'!$C$14)*('01_Inputs'!$C$13)))*('01_Inputs'!$C$16))))/(('01_Inputs'!$C$34)*('02_HW'!$C$7))*('02_HW'!$C$10)))+(1)*('02_HW'!$C$9)*('02_HW'!$C$10))</x:f>
        <x:v>0.027241721081081083</x:v>
      </x:c>
      <x:c r="N26" s="65" t="n">
        <x:f>(MAX(((1)*((2*((('01_Inputs'!$G$65)*('01_Inputs'!$C$10)))*('01_Inputs'!$C$12)*(((('01_Inputs'!$C$14)*('01_Inputs'!$C$13)))+2*((('01_Inputs'!$C$15)*('01_Inputs'!$C$13))))))/(('01_Inputs'!$C$33)*('02_HW'!$C$6))*('02_HW'!$C$10)),((1)*(((((('01_Inputs'!$G$65)*('01_Inputs'!$C$10)))*('01_Inputs'!$C$12)*('01_Inputs'!$C$16)+('01_Inputs'!$C$12)*(((('01_Inputs'!$C$14)*('01_Inputs'!$C$13)))+2*((('01_Inputs'!$C$15)*('01_Inputs'!$C$13))))*('01_Inputs'!$C$17)))+(0)+((((('01_Inputs'!$G$65)*('01_Inputs'!$C$10)))*((('01_Inputs'!$C$14)*('01_Inputs'!$C$13)))*('01_Inputs'!$C$16))))/(('01_Inputs'!$C$34)*('02_HW'!$C$7))*('02_HW'!$C$10)))+(1)*('02_HW'!$C$9)*('02_HW'!$C$10))</x:f>
        <x:v>0.027277145945945946</x:v>
      </x:c>
    </x:row>
    <x:row r="27">
      <x:c r="A27" s="21" t="str">
        <x:v>attention</x:v>
      </x:c>
      <x:c r="B27" s="21" t="str">
        <x:v>kv_cache_append</x:v>
      </x:c>
      <x:c r="C27" s="66" t="n">
        <x:f>(MAX(((1)*(0)/(('01_Inputs'!$C$33)*('02_HW'!$C$6))*('02_HW'!$C$10)),((1)*((0)+((2*((('01_Inputs'!$C$5)*('01_Inputs'!$C$10)))*((('01_Inputs'!$C$15)*('01_Inputs'!$C$13)))*('01_Inputs'!$C$18)))+(0))/(('01_Inputs'!$C$34)*('02_HW'!$C$7))*('02_HW'!$C$10)))+(1)*('02_HW'!$C$9)*('02_HW'!$C$10))</x:f>
        <x:v>0.00007084972972972974</x:v>
      </x:c>
      <x:c r="D27" s="66" t="n">
        <x:f>(MAX(((1)*(0)/(('01_Inputs'!$C$33)*('02_HW'!$C$6))*('02_HW'!$C$10)),((1)*((0)+((2*((('01_Inputs'!$C$5)*('01_Inputs'!$C$10)))*((('01_Inputs'!$C$15)*('01_Inputs'!$C$13)))*('01_Inputs'!$C$18)))+(0))/(('01_Inputs'!$C$34)*('02_HW'!$C$7))*('02_HW'!$C$10)))+(1)*('02_HW'!$C$9)*('02_HW'!$C$10))</x:f>
        <x:v>0.00007084972972972974</x:v>
      </x:c>
      <x:c r="E27" s="66" t="n">
        <x:f>(MAX(((1)*(0)/(('01_Inputs'!$C$33)*('02_HW'!$C$6))*('02_HW'!$C$10)),((1)*((0)+((2*((('01_Inputs'!$C$5)*('01_Inputs'!$C$10)))*((('01_Inputs'!$C$15)*('01_Inputs'!$C$13)))*('01_Inputs'!$C$18)))+(0))/(('01_Inputs'!$C$34)*('02_HW'!$C$7))*('02_HW'!$C$10)))+(1)*('02_HW'!$C$9)*('02_HW'!$C$10))</x:f>
        <x:v>0.00007084972972972974</x:v>
      </x:c>
      <x:c r="F27" s="66" t="n">
        <x:f>(MAX(((1)*(0)/(('01_Inputs'!$C$33)*('02_HW'!$C$6))*('02_HW'!$C$10)),((1)*((0)+((2*((('01_Inputs'!$C$5)*('01_Inputs'!$C$10)))*((('01_Inputs'!$C$15)*('01_Inputs'!$C$13)))*('01_Inputs'!$C$18)))+(0))/(('01_Inputs'!$C$34)*('02_HW'!$C$7))*('02_HW'!$C$10)))+(1)*('02_HW'!$C$9)*('02_HW'!$C$10))</x:f>
        <x:v>0.00007084972972972974</x:v>
      </x:c>
      <x:c r="G27" s="66" t="n">
        <x:f>(MAX(((1)*(0)/(('01_Inputs'!$C$33)*('02_HW'!$C$6))*('02_HW'!$C$10)),((1)*((0)+((2*((('01_Inputs'!$C$5)*('01_Inputs'!$C$10)))*((('01_Inputs'!$C$15)*('01_Inputs'!$C$13)))*('01_Inputs'!$C$18)))+(0))/(('01_Inputs'!$C$34)*('02_HW'!$C$7))*('02_HW'!$C$10)))+(1)*('02_HW'!$C$9)*('02_HW'!$C$10))</x:f>
        <x:v>0.00007084972972972974</x:v>
      </x:c>
      <x:c r="H27" s="66" t="n">
        <x:f>(MAX(((1)*(0)/(('01_Inputs'!$C$33)*('02_HW'!$C$6))*('02_HW'!$C$10)),((1)*((0)+((2*((('01_Inputs'!$C$5)*('01_Inputs'!$C$10)))*((('01_Inputs'!$C$15)*('01_Inputs'!$C$13)))*('01_Inputs'!$C$18)))+(0))/(('01_Inputs'!$C$34)*('02_HW'!$C$7))*('02_HW'!$C$10)))+(1)*('02_HW'!$C$9)*('02_HW'!$C$10))</x:f>
        <x:v>0.00007084972972972974</x:v>
      </x:c>
      <x:c r="I27" s="66" t="n">
        <x:f>(MAX(((1)*(0)/(('01_Inputs'!$C$33)*('02_HW'!$C$6))*('02_HW'!$C$10)),((1)*((0)+((2*((('01_Inputs'!$B$65)*('01_Inputs'!$C$10)))*((('01_Inputs'!$C$15)*('01_Inputs'!$C$13)))*('01_Inputs'!$C$18)))+(0))/(('01_Inputs'!$C$34)*('02_HW'!$C$7))*('02_HW'!$C$10)))+(1)*('02_HW'!$C$9)*('02_HW'!$C$10))</x:f>
        <x:v>0.0000022140540540540544</x:v>
      </x:c>
      <x:c r="J27" s="66" t="n">
        <x:f>(MAX(((1)*(0)/(('01_Inputs'!$C$33)*('02_HW'!$C$6))*('02_HW'!$C$10)),((1)*((0)+((2*((('01_Inputs'!$C$65)*('01_Inputs'!$C$10)))*((('01_Inputs'!$C$15)*('01_Inputs'!$C$13)))*('01_Inputs'!$C$18)))+(0))/(('01_Inputs'!$C$34)*('02_HW'!$C$7))*('02_HW'!$C$10)))+(1)*('02_HW'!$C$9)*('02_HW'!$C$10))</x:f>
        <x:v>0.000004428108108108109</x:v>
      </x:c>
      <x:c r="K27" s="66" t="n">
        <x:f>(MAX(((1)*(0)/(('01_Inputs'!$C$33)*('02_HW'!$C$6))*('02_HW'!$C$10)),((1)*((0)+((2*((('01_Inputs'!$D$65)*('01_Inputs'!$C$10)))*((('01_Inputs'!$C$15)*('01_Inputs'!$C$13)))*('01_Inputs'!$C$18)))+(0))/(('01_Inputs'!$C$34)*('02_HW'!$C$7))*('02_HW'!$C$10)))+(1)*('02_HW'!$C$9)*('02_HW'!$C$10))</x:f>
        <x:v>0.000008856216216216217</x:v>
      </x:c>
      <x:c r="L27" s="66" t="n">
        <x:f>(MAX(((1)*(0)/(('01_Inputs'!$C$33)*('02_HW'!$C$6))*('02_HW'!$C$10)),((1)*((0)+((2*((('01_Inputs'!$E$65)*('01_Inputs'!$C$10)))*((('01_Inputs'!$C$15)*('01_Inputs'!$C$13)))*('01_Inputs'!$C$18)))+(0))/(('01_Inputs'!$C$34)*('02_HW'!$C$7))*('02_HW'!$C$10)))+(1)*('02_HW'!$C$9)*('02_HW'!$C$10))</x:f>
        <x:v>0.000017712432432432435</x:v>
      </x:c>
      <x:c r="M27" s="66" t="n">
        <x:f>(MAX(((1)*(0)/(('01_Inputs'!$C$33)*('02_HW'!$C$6))*('02_HW'!$C$10)),((1)*((0)+((2*((('01_Inputs'!$F$65)*('01_Inputs'!$C$10)))*((('01_Inputs'!$C$15)*('01_Inputs'!$C$13)))*('01_Inputs'!$C$18)))+(0))/(('01_Inputs'!$C$34)*('02_HW'!$C$7))*('02_HW'!$C$10)))+(1)*('02_HW'!$C$9)*('02_HW'!$C$10))</x:f>
        <x:v>0.00003542486486486487</x:v>
      </x:c>
      <x:c r="N27" s="66" t="n">
        <x:f>(MAX(((1)*(0)/(('01_Inputs'!$C$33)*('02_HW'!$C$6))*('02_HW'!$C$10)),((1)*((0)+((2*((('01_Inputs'!$G$65)*('01_Inputs'!$C$10)))*((('01_Inputs'!$C$15)*('01_Inputs'!$C$13)))*('01_Inputs'!$C$18)))+(0))/(('01_Inputs'!$C$34)*('02_HW'!$C$7))*('02_HW'!$C$10)))+(1)*('02_HW'!$C$9)*('02_HW'!$C$10))</x:f>
        <x:v>0.00007084972972972974</x:v>
      </x:c>
    </x:row>
    <x:row r="28">
      <x:c r="A28" s="21" t="str">
        <x:v>attention</x:v>
      </x:c>
      <x:c r="B28" s="21" t="str">
        <x:v>q_materialization_read</x:v>
      </x:c>
      <x:c r="C28" s="66" t="n">
        <x:f>(MAX(((1)*(0)/(('01_Inputs'!$C$33)*('02_HW'!$C$6))*('02_HW'!$C$10)),((1)*(((((('01_Inputs'!$C$5)*('01_Inputs'!$C$10)))*((('01_Inputs'!$C$14)*('01_Inputs'!$C$13)))*('01_Inputs'!$C$16)))+(0)+(0))/(('01_Inputs'!$C$34)*('02_HW'!$C$7))*('02_HW'!$C$10)))+(1)*('02_HW'!$C$9)*('02_HW'!$C$10))</x:f>
        <x:v>0.00003542486486486487</x:v>
      </x:c>
      <x:c r="D28" s="66" t="n">
        <x:f>(MAX(((1)*(0)/(('01_Inputs'!$C$33)*('02_HW'!$C$6))*('02_HW'!$C$10)),((1)*(((((('01_Inputs'!$C$5)*('01_Inputs'!$C$10)))*((('01_Inputs'!$C$14)*('01_Inputs'!$C$13)))*('01_Inputs'!$C$16)))+(0)+(0))/(('01_Inputs'!$C$34)*('02_HW'!$C$7))*('02_HW'!$C$10)))+(1)*('02_HW'!$C$9)*('02_HW'!$C$10))</x:f>
        <x:v>0.00003542486486486487</x:v>
      </x:c>
      <x:c r="E28" s="66" t="n">
        <x:f>(MAX(((1)*(0)/(('01_Inputs'!$C$33)*('02_HW'!$C$6))*('02_HW'!$C$10)),((1)*(((((('01_Inputs'!$C$5)*('01_Inputs'!$C$10)))*((('01_Inputs'!$C$14)*('01_Inputs'!$C$13)))*('01_Inputs'!$C$16)))+(0)+(0))/(('01_Inputs'!$C$34)*('02_HW'!$C$7))*('02_HW'!$C$10)))+(1)*('02_HW'!$C$9)*('02_HW'!$C$10))</x:f>
        <x:v>0.00003542486486486487</x:v>
      </x:c>
      <x:c r="F28" s="66" t="n">
        <x:f>(MAX(((1)*(0)/(('01_Inputs'!$C$33)*('02_HW'!$C$6))*('02_HW'!$C$10)),((1)*(((((('01_Inputs'!$C$5)*('01_Inputs'!$C$10)))*((('01_Inputs'!$C$14)*('01_Inputs'!$C$13)))*('01_Inputs'!$C$16)))+(0)+(0))/(('01_Inputs'!$C$34)*('02_HW'!$C$7))*('02_HW'!$C$10)))+(1)*('02_HW'!$C$9)*('02_HW'!$C$10))</x:f>
        <x:v>0.00003542486486486487</x:v>
      </x:c>
      <x:c r="G28" s="66" t="n">
        <x:f>(MAX(((1)*(0)/(('01_Inputs'!$C$33)*('02_HW'!$C$6))*('02_HW'!$C$10)),((1)*(((((('01_Inputs'!$C$5)*('01_Inputs'!$C$10)))*((('01_Inputs'!$C$14)*('01_Inputs'!$C$13)))*('01_Inputs'!$C$16)))+(0)+(0))/(('01_Inputs'!$C$34)*('02_HW'!$C$7))*('02_HW'!$C$10)))+(1)*('02_HW'!$C$9)*('02_HW'!$C$10))</x:f>
        <x:v>0.00003542486486486487</x:v>
      </x:c>
      <x:c r="H28" s="66" t="n">
        <x:f>(MAX(((1)*(0)/(('01_Inputs'!$C$33)*('02_HW'!$C$6))*('02_HW'!$C$10)),((1)*(((((('01_Inputs'!$C$5)*('01_Inputs'!$C$10)))*((('01_Inputs'!$C$14)*('01_Inputs'!$C$13)))*('01_Inputs'!$C$16)))+(0)+(0))/(('01_Inputs'!$C$34)*('02_HW'!$C$7))*('02_HW'!$C$10)))+(1)*('02_HW'!$C$9)*('02_HW'!$C$10))</x:f>
        <x:v>0.00003542486486486487</x:v>
      </x:c>
      <x:c r="I28" s="66" t="n">
        <x:f>(MAX(((1)*(0)/(('01_Inputs'!$C$33)*('02_HW'!$C$6))*('02_HW'!$C$10)),((1)*(((((('01_Inputs'!$B$65)*('01_Inputs'!$C$10)))*((('01_Inputs'!$C$14)*('01_Inputs'!$C$13)))*('01_Inputs'!$C$16)))+(0)+(0))/(('01_Inputs'!$C$34)*('02_HW'!$C$7))*('02_HW'!$C$10)))+(1)*('02_HW'!$C$9)*('02_HW'!$C$10))</x:f>
        <x:v>0.0000011070270270270272</x:v>
      </x:c>
      <x:c r="J28" s="66" t="n">
        <x:f>(MAX(((1)*(0)/(('01_Inputs'!$C$33)*('02_HW'!$C$6))*('02_HW'!$C$10)),((1)*(((((('01_Inputs'!$C$65)*('01_Inputs'!$C$10)))*((('01_Inputs'!$C$14)*('01_Inputs'!$C$13)))*('01_Inputs'!$C$16)))+(0)+(0))/(('01_Inputs'!$C$34)*('02_HW'!$C$7))*('02_HW'!$C$10)))+(1)*('02_HW'!$C$9)*('02_HW'!$C$10))</x:f>
        <x:v>0.0000022140540540540544</x:v>
      </x:c>
      <x:c r="K28" s="66" t="n">
        <x:f>(MAX(((1)*(0)/(('01_Inputs'!$C$33)*('02_HW'!$C$6))*('02_HW'!$C$10)),((1)*(((((('01_Inputs'!$D$65)*('01_Inputs'!$C$10)))*((('01_Inputs'!$C$14)*('01_Inputs'!$C$13)))*('01_Inputs'!$C$16)))+(0)+(0))/(('01_Inputs'!$C$34)*('02_HW'!$C$7))*('02_HW'!$C$10)))+(1)*('02_HW'!$C$9)*('02_HW'!$C$10))</x:f>
        <x:v>0.000004428108108108109</x:v>
      </x:c>
      <x:c r="L28" s="66" t="n">
        <x:f>(MAX(((1)*(0)/(('01_Inputs'!$C$33)*('02_HW'!$C$6))*('02_HW'!$C$10)),((1)*(((((('01_Inputs'!$E$65)*('01_Inputs'!$C$10)))*((('01_Inputs'!$C$14)*('01_Inputs'!$C$13)))*('01_Inputs'!$C$16)))+(0)+(0))/(('01_Inputs'!$C$34)*('02_HW'!$C$7))*('02_HW'!$C$10)))+(1)*('02_HW'!$C$9)*('02_HW'!$C$10))</x:f>
        <x:v>0.000008856216216216217</x:v>
      </x:c>
      <x:c r="M28" s="66" t="n">
        <x:f>(MAX(((1)*(0)/(('01_Inputs'!$C$33)*('02_HW'!$C$6))*('02_HW'!$C$10)),((1)*(((((('01_Inputs'!$F$65)*('01_Inputs'!$C$10)))*((('01_Inputs'!$C$14)*('01_Inputs'!$C$13)))*('01_Inputs'!$C$16)))+(0)+(0))/(('01_Inputs'!$C$34)*('02_HW'!$C$7))*('02_HW'!$C$10)))+(1)*('02_HW'!$C$9)*('02_HW'!$C$10))</x:f>
        <x:v>0.000017712432432432435</x:v>
      </x:c>
      <x:c r="N28" s="66" t="n">
        <x:f>(MAX(((1)*(0)/(('01_Inputs'!$C$33)*('02_HW'!$C$6))*('02_HW'!$C$10)),((1)*(((((('01_Inputs'!$G$65)*('01_Inputs'!$C$10)))*((('01_Inputs'!$C$14)*('01_Inputs'!$C$13)))*('01_Inputs'!$C$16)))+(0)+(0))/(('01_Inputs'!$C$34)*('02_HW'!$C$7))*('02_HW'!$C$10)))+(1)*('02_HW'!$C$9)*('02_HW'!$C$10))</x:f>
        <x:v>0.00003542486486486487</x:v>
      </x:c>
    </x:row>
    <x:row r="29">
      <x:c r="A29" s="21" t="str">
        <x:v>attention</x:v>
      </x:c>
      <x:c r="B29" s="21" t="str">
        <x:v>flash_decode_partials</x:v>
      </x:c>
      <x:c r="C29" s="66" t="n">
        <x:f>(MAX(((1)*((4*((('01_Inputs'!$C$5)*('01_Inputs'!$C$14)*('01_Inputs'!$C$10)*('01_Inputs'!$B$64)))*('01_Inputs'!$C$13)+('01_Inputs'!$C$24)*((('01_Inputs'!$C$5)*('01_Inputs'!$C$14)*('01_Inputs'!$C$10)*('01_Inputs'!$B$64)))))/(('01_Inputs'!$C$33)*('02_HW'!$C$6))*('02_HW'!$C$10)),((1)*(((2*('01_Inputs'!$C$5)*('01_Inputs'!$B$64)*((('01_Inputs'!$C$15)*('01_Inputs'!$C$13)))*('01_Inputs'!$C$18)*('01_Inputs'!$C$23)))+((IF(((INT((('01_Inputs'!$B$64)+('01_Inputs'!$C$22)-1)/('01_Inputs'!$C$22))))=1,(((('01_Inputs'!$C$5)*('01_Inputs'!$C$10)))*((('01_Inputs'!$C$14)*('01_Inputs'!$C$13)))*('01_Inputs'!$C$16)),0)))+((IF(((INT((('01_Inputs'!$B$64)+('01_Inputs'!$C$22)-1)/('01_Inputs'!$C$22))))=1,0,('01_Inputs'!$C$5)*('01_Inputs'!$C$10)*('01_Inputs'!$C$14)*((INT((('01_Inputs'!$B$64)+('01_Inputs'!$C$22)-1)/('01_Inputs'!$C$22))))*(('01_Inputs'!$C$13)*('01_Inputs'!$C$19)+('01_Inputs'!$C$20))))))/(('01_Inputs'!$C$34)*('02_HW'!$C$7))*('02_HW'!$C$10)))+(1)*('02_HW'!$C$9)*('02_HW'!$C$10))</x:f>
        <x:v>0.0725855481081081</x:v>
      </x:c>
      <x:c r="D29" s="66" t="n">
        <x:f>(MAX(((1)*((4*((('01_Inputs'!$C$5)*('01_Inputs'!$C$14)*('01_Inputs'!$C$10)*('01_Inputs'!$C$64)))*('01_Inputs'!$C$13)+('01_Inputs'!$C$24)*((('01_Inputs'!$C$5)*('01_Inputs'!$C$14)*('01_Inputs'!$C$10)*('01_Inputs'!$C$64)))))/(('01_Inputs'!$C$33)*('02_HW'!$C$6))*('02_HW'!$C$10)),((1)*(((2*('01_Inputs'!$C$5)*('01_Inputs'!$C$64)*((('01_Inputs'!$C$15)*('01_Inputs'!$C$13)))*('01_Inputs'!$C$18)*('01_Inputs'!$C$23)))+((IF(((INT((('01_Inputs'!$C$64)+('01_Inputs'!$C$22)-1)/('01_Inputs'!$C$22))))=1,(((('01_Inputs'!$C$5)*('01_Inputs'!$C$10)))*((('01_Inputs'!$C$14)*('01_Inputs'!$C$13)))*('01_Inputs'!$C$16)),0)))+((IF(((INT((('01_Inputs'!$C$64)+('01_Inputs'!$C$22)-1)/('01_Inputs'!$C$22))))=1,0,('01_Inputs'!$C$5)*('01_Inputs'!$C$10)*('01_Inputs'!$C$14)*((INT((('01_Inputs'!$C$64)+('01_Inputs'!$C$22)-1)/('01_Inputs'!$C$22))))*(('01_Inputs'!$C$13)*('01_Inputs'!$C$19)+('01_Inputs'!$C$20))))))/(('01_Inputs'!$C$34)*('02_HW'!$C$7))*('02_HW'!$C$10)))+(1)*('02_HW'!$C$9)*('02_HW'!$C$10))</x:f>
        <x:v>0.2904861059459459</x:v>
      </x:c>
      <x:c r="E29" s="66" t="n">
        <x:f>(MAX(((1)*((4*((('01_Inputs'!$C$5)*('01_Inputs'!$C$14)*('01_Inputs'!$C$10)*('01_Inputs'!$D$64)))*('01_Inputs'!$C$13)+('01_Inputs'!$C$24)*((('01_Inputs'!$C$5)*('01_Inputs'!$C$14)*('01_Inputs'!$C$10)*('01_Inputs'!$D$64)))))/(('01_Inputs'!$C$33)*('02_HW'!$C$6))*('02_HW'!$C$10)),((1)*(((2*('01_Inputs'!$C$5)*('01_Inputs'!$D$64)*((('01_Inputs'!$C$15)*('01_Inputs'!$C$13)))*('01_Inputs'!$C$18)*('01_Inputs'!$C$23)))+((IF(((INT((('01_Inputs'!$D$64)+('01_Inputs'!$C$22)-1)/('01_Inputs'!$C$22))))=1,(((('01_Inputs'!$C$5)*('01_Inputs'!$C$10)))*((('01_Inputs'!$C$14)*('01_Inputs'!$C$13)))*('01_Inputs'!$C$16)),0)))+((IF(((INT((('01_Inputs'!$D$64)+('01_Inputs'!$C$22)-1)/('01_Inputs'!$C$22))))=1,0,('01_Inputs'!$C$5)*('01_Inputs'!$C$10)*('01_Inputs'!$C$14)*((INT((('01_Inputs'!$D$64)+('01_Inputs'!$C$22)-1)/('01_Inputs'!$C$22))))*(('01_Inputs'!$C$13)*('01_Inputs'!$C$19)+('01_Inputs'!$C$20))))))/(('01_Inputs'!$C$34)*('02_HW'!$C$7))*('02_HW'!$C$10)))+(1)*('02_HW'!$C$9)*('02_HW'!$C$10))</x:f>
        <x:v>1.1619444237837837</x:v>
      </x:c>
      <x:c r="F29" s="66" t="n">
        <x:f>(MAX(((1)*((4*((('01_Inputs'!$C$5)*('01_Inputs'!$C$14)*('01_Inputs'!$C$10)*('01_Inputs'!$E$64)))*('01_Inputs'!$C$13)+('01_Inputs'!$C$24)*((('01_Inputs'!$C$5)*('01_Inputs'!$C$14)*('01_Inputs'!$C$10)*('01_Inputs'!$E$64)))))/(('01_Inputs'!$C$33)*('02_HW'!$C$6))*('02_HW'!$C$10)),((1)*(((2*('01_Inputs'!$C$5)*('01_Inputs'!$E$64)*((('01_Inputs'!$C$15)*('01_Inputs'!$C$13)))*('01_Inputs'!$C$18)*('01_Inputs'!$C$23)))+((IF(((INT((('01_Inputs'!$E$64)+('01_Inputs'!$C$22)-1)/('01_Inputs'!$C$22))))=1,(((('01_Inputs'!$C$5)*('01_Inputs'!$C$10)))*((('01_Inputs'!$C$14)*('01_Inputs'!$C$13)))*('01_Inputs'!$C$16)),0)))+((IF(((INT((('01_Inputs'!$E$64)+('01_Inputs'!$C$22)-1)/('01_Inputs'!$C$22))))=1,0,('01_Inputs'!$C$5)*('01_Inputs'!$C$10)*('01_Inputs'!$C$14)*((INT((('01_Inputs'!$E$64)+('01_Inputs'!$C$22)-1)/('01_Inputs'!$C$22))))*(('01_Inputs'!$C$13)*('01_Inputs'!$C$19)+('01_Inputs'!$C$20))))))/(('01_Inputs'!$C$34)*('02_HW'!$C$7))*('02_HW'!$C$10)))+(1)*('02_HW'!$C$9)*('02_HW'!$C$10))</x:f>
        <x:v>4.647777695135135</x:v>
      </x:c>
      <x:c r="G29" s="66" t="n">
        <x:f>(MAX(((1)*((4*((('01_Inputs'!$C$5)*('01_Inputs'!$C$14)*('01_Inputs'!$C$10)*('01_Inputs'!$F$64)))*('01_Inputs'!$C$13)+('01_Inputs'!$C$24)*((('01_Inputs'!$C$5)*('01_Inputs'!$C$14)*('01_Inputs'!$C$10)*('01_Inputs'!$F$64)))))/(('01_Inputs'!$C$33)*('02_HW'!$C$6))*('02_HW'!$C$10)),((1)*(((2*('01_Inputs'!$C$5)*('01_Inputs'!$F$64)*((('01_Inputs'!$C$15)*('01_Inputs'!$C$13)))*('01_Inputs'!$C$18)*('01_Inputs'!$C$23)))+((IF(((INT((('01_Inputs'!$F$64)+('01_Inputs'!$C$22)-1)/('01_Inputs'!$C$22))))=1,(((('01_Inputs'!$C$5)*('01_Inputs'!$C$10)))*((('01_Inputs'!$C$14)*('01_Inputs'!$C$13)))*('01_Inputs'!$C$16)),0)))+((IF(((INT((('01_Inputs'!$F$64)+('01_Inputs'!$C$22)-1)/('01_Inputs'!$C$22))))=1,0,('01_Inputs'!$C$5)*('01_Inputs'!$C$10)*('01_Inputs'!$C$14)*((INT((('01_Inputs'!$F$64)+('01_Inputs'!$C$22)-1)/('01_Inputs'!$C$22))))*(('01_Inputs'!$C$13)*('01_Inputs'!$C$19)+('01_Inputs'!$C$20))))))/(('01_Inputs'!$C$34)*('02_HW'!$C$7))*('02_HW'!$C$10)))+(1)*('02_HW'!$C$9)*('02_HW'!$C$10))</x:f>
        <x:v>9.29555539027027</x:v>
      </x:c>
      <x:c r="H29" s="66" t="n">
        <x:f>(MAX(((1)*((4*((('01_Inputs'!$C$5)*('01_Inputs'!$C$14)*('01_Inputs'!$C$10)*('01_Inputs'!$G$64)))*('01_Inputs'!$C$13)+('01_Inputs'!$C$24)*((('01_Inputs'!$C$5)*('01_Inputs'!$C$14)*('01_Inputs'!$C$10)*('01_Inputs'!$G$64)))))/(('01_Inputs'!$C$33)*('02_HW'!$C$6))*('02_HW'!$C$10)),((1)*(((2*('01_Inputs'!$C$5)*('01_Inputs'!$G$64)*((('01_Inputs'!$C$15)*('01_Inputs'!$C$13)))*('01_Inputs'!$C$18)*('01_Inputs'!$C$23)))+((IF(((INT((('01_Inputs'!$G$64)+('01_Inputs'!$C$22)-1)/('01_Inputs'!$C$22))))=1,(((('01_Inputs'!$C$5)*('01_Inputs'!$C$10)))*((('01_Inputs'!$C$14)*('01_Inputs'!$C$13)))*('01_Inputs'!$C$16)),0)))+((IF(((INT((('01_Inputs'!$G$64)+('01_Inputs'!$C$22)-1)/('01_Inputs'!$C$22))))=1,0,('01_Inputs'!$C$5)*('01_Inputs'!$C$10)*('01_Inputs'!$C$14)*((INT((('01_Inputs'!$G$64)+('01_Inputs'!$C$22)-1)/('01_Inputs'!$C$22))))*(('01_Inputs'!$C$13)*('01_Inputs'!$C$19)+('01_Inputs'!$C$20))))))/(('01_Inputs'!$C$34)*('02_HW'!$C$7))*('02_HW'!$C$10)))+(1)*('02_HW'!$C$9)*('02_HW'!$C$10))</x:f>
        <x:v>18.59111078054054</x:v>
      </x:c>
      <x:c r="I29" s="66" t="n">
        <x:f>(MAX(((1)*((4*((('01_Inputs'!$B$65)*('01_Inputs'!$C$14)*('01_Inputs'!$C$10)*('01_Inputs'!$C$11)))*('01_Inputs'!$C$13)+('01_Inputs'!$C$24)*((('01_Inputs'!$B$65)*('01_Inputs'!$C$14)*('01_Inputs'!$C$10)*('01_Inputs'!$C$11)))))/(('01_Inputs'!$C$33)*('02_HW'!$C$6))*('02_HW'!$C$10)),((1)*(((2*('01_Inputs'!$B$65)*('01_Inputs'!$C$11)*((('01_Inputs'!$C$15)*('01_Inputs'!$C$13)))*('01_Inputs'!$C$18)*('01_Inputs'!$C$23)))+((IF(('01_Inputs'!$C$21)=1,(((('01_Inputs'!$B$65)*('01_Inputs'!$C$10)))*((('01_Inputs'!$C$14)*('01_Inputs'!$C$13)))*('01_Inputs'!$C$16)),0)))+((IF(('01_Inputs'!$C$21)=1,0,('01_Inputs'!$B$65)*('01_Inputs'!$C$10)*('01_Inputs'!$C$14)*('01_Inputs'!$C$21)*(('01_Inputs'!$C$13)*('01_Inputs'!$C$19)+('01_Inputs'!$C$20))))))/(('01_Inputs'!$C$34)*('02_HW'!$C$7))*('02_HW'!$C$10)))+(1)*('02_HW'!$C$9)*('02_HW'!$C$10))</x:f>
        <x:v>0.2904861059459459</x:v>
      </x:c>
      <x:c r="J29" s="66" t="n">
        <x:f>(MAX(((1)*((4*((('01_Inputs'!$C$65)*('01_Inputs'!$C$14)*('01_Inputs'!$C$10)*('01_Inputs'!$C$11)))*('01_Inputs'!$C$13)+('01_Inputs'!$C$24)*((('01_Inputs'!$C$65)*('01_Inputs'!$C$14)*('01_Inputs'!$C$10)*('01_Inputs'!$C$11)))))/(('01_Inputs'!$C$33)*('02_HW'!$C$6))*('02_HW'!$C$10)),((1)*(((2*('01_Inputs'!$C$65)*('01_Inputs'!$C$11)*((('01_Inputs'!$C$15)*('01_Inputs'!$C$13)))*('01_Inputs'!$C$18)*('01_Inputs'!$C$23)))+((IF(('01_Inputs'!$C$21)=1,(((('01_Inputs'!$C$65)*('01_Inputs'!$C$10)))*((('01_Inputs'!$C$14)*('01_Inputs'!$C$13)))*('01_Inputs'!$C$16)),0)))+((IF(('01_Inputs'!$C$21)=1,0,('01_Inputs'!$C$65)*('01_Inputs'!$C$10)*('01_Inputs'!$C$14)*('01_Inputs'!$C$21)*(('01_Inputs'!$C$13)*('01_Inputs'!$C$19)+('01_Inputs'!$C$20))))))/(('01_Inputs'!$C$34)*('02_HW'!$C$7))*('02_HW'!$C$10)))+(1)*('02_HW'!$C$9)*('02_HW'!$C$10))</x:f>
        <x:v>0.5809722118918919</x:v>
      </x:c>
      <x:c r="K29" s="66" t="n">
        <x:f>(MAX(((1)*((4*((('01_Inputs'!$D$65)*('01_Inputs'!$C$14)*('01_Inputs'!$C$10)*('01_Inputs'!$C$11)))*('01_Inputs'!$C$13)+('01_Inputs'!$C$24)*((('01_Inputs'!$D$65)*('01_Inputs'!$C$14)*('01_Inputs'!$C$10)*('01_Inputs'!$C$11)))))/(('01_Inputs'!$C$33)*('02_HW'!$C$6))*('02_HW'!$C$10)),((1)*(((2*('01_Inputs'!$D$65)*('01_Inputs'!$C$11)*((('01_Inputs'!$C$15)*('01_Inputs'!$C$13)))*('01_Inputs'!$C$18)*('01_Inputs'!$C$23)))+((IF(('01_Inputs'!$C$21)=1,(((('01_Inputs'!$D$65)*('01_Inputs'!$C$10)))*((('01_Inputs'!$C$14)*('01_Inputs'!$C$13)))*('01_Inputs'!$C$16)),0)))+((IF(('01_Inputs'!$C$21)=1,0,('01_Inputs'!$D$65)*('01_Inputs'!$C$10)*('01_Inputs'!$C$14)*('01_Inputs'!$C$21)*(('01_Inputs'!$C$13)*('01_Inputs'!$C$19)+('01_Inputs'!$C$20))))))/(('01_Inputs'!$C$34)*('02_HW'!$C$7))*('02_HW'!$C$10)))+(1)*('02_HW'!$C$9)*('02_HW'!$C$10))</x:f>
        <x:v>1.1619444237837837</x:v>
      </x:c>
      <x:c r="L29" s="66" t="n">
        <x:f>(MAX(((1)*((4*((('01_Inputs'!$E$65)*('01_Inputs'!$C$14)*('01_Inputs'!$C$10)*('01_Inputs'!$C$11)))*('01_Inputs'!$C$13)+('01_Inputs'!$C$24)*((('01_Inputs'!$E$65)*('01_Inputs'!$C$14)*('01_Inputs'!$C$10)*('01_Inputs'!$C$11)))))/(('01_Inputs'!$C$33)*('02_HW'!$C$6))*('02_HW'!$C$10)),((1)*(((2*('01_Inputs'!$E$65)*('01_Inputs'!$C$11)*((('01_Inputs'!$C$15)*('01_Inputs'!$C$13)))*('01_Inputs'!$C$18)*('01_Inputs'!$C$23)))+((IF(('01_Inputs'!$C$21)=1,(((('01_Inputs'!$E$65)*('01_Inputs'!$C$10)))*((('01_Inputs'!$C$14)*('01_Inputs'!$C$13)))*('01_Inputs'!$C$16)),0)))+((IF(('01_Inputs'!$C$21)=1,0,('01_Inputs'!$E$65)*('01_Inputs'!$C$10)*('01_Inputs'!$C$14)*('01_Inputs'!$C$21)*(('01_Inputs'!$C$13)*('01_Inputs'!$C$19)+('01_Inputs'!$C$20))))))/(('01_Inputs'!$C$34)*('02_HW'!$C$7))*('02_HW'!$C$10)))+(1)*('02_HW'!$C$9)*('02_HW'!$C$10))</x:f>
        <x:v>2.3238888475675674</x:v>
      </x:c>
      <x:c r="M29" s="66" t="n">
        <x:f>(MAX(((1)*((4*((('01_Inputs'!$F$65)*('01_Inputs'!$C$14)*('01_Inputs'!$C$10)*('01_Inputs'!$C$11)))*('01_Inputs'!$C$13)+('01_Inputs'!$C$24)*((('01_Inputs'!$F$65)*('01_Inputs'!$C$14)*('01_Inputs'!$C$10)*('01_Inputs'!$C$11)))))/(('01_Inputs'!$C$33)*('02_HW'!$C$6))*('02_HW'!$C$10)),((1)*(((2*('01_Inputs'!$F$65)*('01_Inputs'!$C$11)*((('01_Inputs'!$C$15)*('01_Inputs'!$C$13)))*('01_Inputs'!$C$18)*('01_Inputs'!$C$23)))+((IF(('01_Inputs'!$C$21)=1,(((('01_Inputs'!$F$65)*('01_Inputs'!$C$10)))*((('01_Inputs'!$C$14)*('01_Inputs'!$C$13)))*('01_Inputs'!$C$16)),0)))+((IF(('01_Inputs'!$C$21)=1,0,('01_Inputs'!$F$65)*('01_Inputs'!$C$10)*('01_Inputs'!$C$14)*('01_Inputs'!$C$21)*(('01_Inputs'!$C$13)*('01_Inputs'!$C$19)+('01_Inputs'!$C$20))))))/(('01_Inputs'!$C$34)*('02_HW'!$C$7))*('02_HW'!$C$10)))+(1)*('02_HW'!$C$9)*('02_HW'!$C$10))</x:f>
        <x:v>4.647777695135135</x:v>
      </x:c>
      <x:c r="N29" s="66" t="n">
        <x:f>(MAX(((1)*((4*((('01_Inputs'!$G$65)*('01_Inputs'!$C$14)*('01_Inputs'!$C$10)*('01_Inputs'!$C$11)))*('01_Inputs'!$C$13)+('01_Inputs'!$C$24)*((('01_Inputs'!$G$65)*('01_Inputs'!$C$14)*('01_Inputs'!$C$10)*('01_Inputs'!$C$11)))))/(('01_Inputs'!$C$33)*('02_HW'!$C$6))*('02_HW'!$C$10)),((1)*(((2*('01_Inputs'!$G$65)*('01_Inputs'!$C$11)*((('01_Inputs'!$C$15)*('01_Inputs'!$C$13)))*('01_Inputs'!$C$18)*('01_Inputs'!$C$23)))+((IF(('01_Inputs'!$C$21)=1,(((('01_Inputs'!$G$65)*('01_Inputs'!$C$10)))*((('01_Inputs'!$C$14)*('01_Inputs'!$C$13)))*('01_Inputs'!$C$16)),0)))+((IF(('01_Inputs'!$C$21)=1,0,('01_Inputs'!$G$65)*('01_Inputs'!$C$10)*('01_Inputs'!$C$14)*('01_Inputs'!$C$21)*(('01_Inputs'!$C$13)*('01_Inputs'!$C$19)+('01_Inputs'!$C$20))))))/(('01_Inputs'!$C$34)*('02_HW'!$C$7))*('02_HW'!$C$10)))+(1)*('02_HW'!$C$9)*('02_HW'!$C$10))</x:f>
        <x:v>9.29555539027027</x:v>
      </x:c>
    </x:row>
    <x:row r="30">
      <x:c r="A30" s="21" t="str">
        <x:v>attention</x:v>
      </x:c>
      <x:c r="B30" s="21" t="str">
        <x:v>flash_decode_reduce</x:v>
      </x:c>
      <x:c r="C30" s="66" t="n">
        <x:f>(MAX((((IF(((INT((('01_Inputs'!$B$64)+('01_Inputs'!$C$22)-1)/('01_Inputs'!$C$22))))&gt;1,1,0)))*(0)/(('01_Inputs'!$C$33)*('02_HW'!$C$6))*('02_HW'!$C$10)),(((IF(((INT((('01_Inputs'!$B$64)+('01_Inputs'!$C$22)-1)/('01_Inputs'!$C$22))))&gt;1,1,0)))*(((IF(((INT((('01_Inputs'!$B$64)+('01_Inputs'!$C$22)-1)/('01_Inputs'!$C$22))))=1,0,('01_Inputs'!$C$5)*('01_Inputs'!$C$10)*('01_Inputs'!$C$14)*((INT((('01_Inputs'!$B$64)+('01_Inputs'!$C$22)-1)/('01_Inputs'!$C$22))))*(('01_Inputs'!$C$13)*('01_Inputs'!$C$19)+('01_Inputs'!$C$20)))))+((((('01_Inputs'!$C$5)*('01_Inputs'!$C$10)))*((('01_Inputs'!$C$14)*('01_Inputs'!$C$13)))*('01_Inputs'!$C$16)))+(0))/(('01_Inputs'!$C$34)*('02_HW'!$C$7))*('02_HW'!$C$10)))+((IF(((INT((('01_Inputs'!$B$64)+('01_Inputs'!$C$22)-1)/('01_Inputs'!$C$22))))&gt;1,1,0)))*('02_HW'!$C$9)*('02_HW'!$C$10))</x:f>
        <x:v>0</x:v>
      </x:c>
      <x:c r="D30" s="66" t="n">
        <x:f>(MAX((((IF(((INT((('01_Inputs'!$C$64)+('01_Inputs'!$C$22)-1)/('01_Inputs'!$C$22))))&gt;1,1,0)))*(0)/(('01_Inputs'!$C$33)*('02_HW'!$C$6))*('02_HW'!$C$10)),(((IF(((INT((('01_Inputs'!$C$64)+('01_Inputs'!$C$22)-1)/('01_Inputs'!$C$22))))&gt;1,1,0)))*(((IF(((INT((('01_Inputs'!$C$64)+('01_Inputs'!$C$22)-1)/('01_Inputs'!$C$22))))=1,0,('01_Inputs'!$C$5)*('01_Inputs'!$C$10)*('01_Inputs'!$C$14)*((INT((('01_Inputs'!$C$64)+('01_Inputs'!$C$22)-1)/('01_Inputs'!$C$22))))*(('01_Inputs'!$C$13)*('01_Inputs'!$C$19)+('01_Inputs'!$C$20)))))+((((('01_Inputs'!$C$5)*('01_Inputs'!$C$10)))*((('01_Inputs'!$C$14)*('01_Inputs'!$C$13)))*('01_Inputs'!$C$16)))+(0))/(('01_Inputs'!$C$34)*('02_HW'!$C$7))*('02_HW'!$C$10)))+((IF(((INT((('01_Inputs'!$C$64)+('01_Inputs'!$C$22)-1)/('01_Inputs'!$C$22))))&gt;1,1,0)))*('02_HW'!$C$9)*('02_HW'!$C$10))</x:f>
        <x:v>0.00032103783783783783</x:v>
      </x:c>
      <x:c r="E30" s="66" t="n">
        <x:f>(MAX((((IF(((INT((('01_Inputs'!$D$64)+('01_Inputs'!$C$22)-1)/('01_Inputs'!$C$22))))&gt;1,1,0)))*(0)/(('01_Inputs'!$C$33)*('02_HW'!$C$6))*('02_HW'!$C$10)),(((IF(((INT((('01_Inputs'!$D$64)+('01_Inputs'!$C$22)-1)/('01_Inputs'!$C$22))))&gt;1,1,0)))*(((IF(((INT((('01_Inputs'!$D$64)+('01_Inputs'!$C$22)-1)/('01_Inputs'!$C$22))))=1,0,('01_Inputs'!$C$5)*('01_Inputs'!$C$10)*('01_Inputs'!$C$14)*((INT((('01_Inputs'!$D$64)+('01_Inputs'!$C$22)-1)/('01_Inputs'!$C$22))))*(('01_Inputs'!$C$13)*('01_Inputs'!$C$19)+('01_Inputs'!$C$20)))))+((((('01_Inputs'!$C$5)*('01_Inputs'!$C$10)))*((('01_Inputs'!$C$14)*('01_Inputs'!$C$13)))*('01_Inputs'!$C$16)))+(0))/(('01_Inputs'!$C$34)*('02_HW'!$C$7))*('02_HW'!$C$10)))+((IF(((INT((('01_Inputs'!$D$64)+('01_Inputs'!$C$22)-1)/('01_Inputs'!$C$22))))&gt;1,1,0)))*('02_HW'!$C$9)*('02_HW'!$C$10))</x:f>
        <x:v>0.0011778767567567567</x:v>
      </x:c>
      <x:c r="F30" s="66" t="n">
        <x:f>(MAX((((IF(((INT((('01_Inputs'!$E$64)+('01_Inputs'!$C$22)-1)/('01_Inputs'!$C$22))))&gt;1,1,0)))*(0)/(('01_Inputs'!$C$33)*('02_HW'!$C$6))*('02_HW'!$C$10)),(((IF(((INT((('01_Inputs'!$E$64)+('01_Inputs'!$C$22)-1)/('01_Inputs'!$C$22))))&gt;1,1,0)))*(((IF(((INT((('01_Inputs'!$E$64)+('01_Inputs'!$C$22)-1)/('01_Inputs'!$C$22))))=1,0,('01_Inputs'!$C$5)*('01_Inputs'!$C$10)*('01_Inputs'!$C$14)*((INT((('01_Inputs'!$E$64)+('01_Inputs'!$C$22)-1)/('01_Inputs'!$C$22))))*(('01_Inputs'!$C$13)*('01_Inputs'!$C$19)+('01_Inputs'!$C$20)))))+((((('01_Inputs'!$C$5)*('01_Inputs'!$C$10)))*((('01_Inputs'!$C$14)*('01_Inputs'!$C$13)))*('01_Inputs'!$C$16)))+(0))/(('01_Inputs'!$C$34)*('02_HW'!$C$7))*('02_HW'!$C$10)))+((IF(((INT((('01_Inputs'!$E$64)+('01_Inputs'!$C$22)-1)/('01_Inputs'!$C$22))))&gt;1,1,0)))*('02_HW'!$C$9)*('02_HW'!$C$10))</x:f>
        <x:v>0.004605232432432433</x:v>
      </x:c>
      <x:c r="G30" s="66" t="n">
        <x:f>(MAX((((IF(((INT((('01_Inputs'!$F$64)+('01_Inputs'!$C$22)-1)/('01_Inputs'!$C$22))))&gt;1,1,0)))*(0)/(('01_Inputs'!$C$33)*('02_HW'!$C$6))*('02_HW'!$C$10)),(((IF(((INT((('01_Inputs'!$F$64)+('01_Inputs'!$C$22)-1)/('01_Inputs'!$C$22))))&gt;1,1,0)))*(((IF(((INT((('01_Inputs'!$F$64)+('01_Inputs'!$C$22)-1)/('01_Inputs'!$C$22))))=1,0,('01_Inputs'!$C$5)*('01_Inputs'!$C$10)*('01_Inputs'!$C$14)*((INT((('01_Inputs'!$F$64)+('01_Inputs'!$C$22)-1)/('01_Inputs'!$C$22))))*(('01_Inputs'!$C$13)*('01_Inputs'!$C$19)+('01_Inputs'!$C$20)))))+((((('01_Inputs'!$C$5)*('01_Inputs'!$C$10)))*((('01_Inputs'!$C$14)*('01_Inputs'!$C$13)))*('01_Inputs'!$C$16)))+(0))/(('01_Inputs'!$C$34)*('02_HW'!$C$7))*('02_HW'!$C$10)))+((IF(((INT((('01_Inputs'!$F$64)+('01_Inputs'!$C$22)-1)/('01_Inputs'!$C$22))))&gt;1,1,0)))*('02_HW'!$C$9)*('02_HW'!$C$10))</x:f>
        <x:v>0.00917504</x:v>
      </x:c>
      <x:c r="H30" s="66" t="n">
        <x:f>(MAX((((IF(((INT((('01_Inputs'!$G$64)+('01_Inputs'!$C$22)-1)/('01_Inputs'!$C$22))))&gt;1,1,0)))*(0)/(('01_Inputs'!$C$33)*('02_HW'!$C$6))*('02_HW'!$C$10)),(((IF(((INT((('01_Inputs'!$G$64)+('01_Inputs'!$C$22)-1)/('01_Inputs'!$C$22))))&gt;1,1,0)))*(((IF(((INT((('01_Inputs'!$G$64)+('01_Inputs'!$C$22)-1)/('01_Inputs'!$C$22))))=1,0,('01_Inputs'!$C$5)*('01_Inputs'!$C$10)*('01_Inputs'!$C$14)*((INT((('01_Inputs'!$G$64)+('01_Inputs'!$C$22)-1)/('01_Inputs'!$C$22))))*(('01_Inputs'!$C$13)*('01_Inputs'!$C$19)+('01_Inputs'!$C$20)))))+((((('01_Inputs'!$C$5)*('01_Inputs'!$C$10)))*((('01_Inputs'!$C$14)*('01_Inputs'!$C$13)))*('01_Inputs'!$C$16)))+(0))/(('01_Inputs'!$C$34)*('02_HW'!$C$7))*('02_HW'!$C$10)))+((IF(((INT((('01_Inputs'!$G$64)+('01_Inputs'!$C$22)-1)/('01_Inputs'!$C$22))))&gt;1,1,0)))*('02_HW'!$C$9)*('02_HW'!$C$10))</x:f>
        <x:v>0.018314655135135135</x:v>
      </x:c>
      <x:c r="I30" s="66" t="n">
        <x:f>(MAX((((IF(('01_Inputs'!$C$21)&gt;1,1,0)))*(0)/(('01_Inputs'!$C$33)*('02_HW'!$C$6))*('02_HW'!$C$10)),(((IF(('01_Inputs'!$C$21)&gt;1,1,0)))*(((IF(('01_Inputs'!$C$21)=1,0,('01_Inputs'!$B$65)*('01_Inputs'!$C$10)*('01_Inputs'!$C$14)*('01_Inputs'!$C$21)*(('01_Inputs'!$C$13)*('01_Inputs'!$C$19)+('01_Inputs'!$C$20)))))+((((('01_Inputs'!$B$65)*('01_Inputs'!$C$10)))*((('01_Inputs'!$C$14)*('01_Inputs'!$C$13)))*('01_Inputs'!$C$16)))+(0))/(('01_Inputs'!$C$34)*('02_HW'!$C$7))*('02_HW'!$C$10)))+((IF(('01_Inputs'!$C$21)&gt;1,1,0)))*('02_HW'!$C$9)*('02_HW'!$C$10))</x:f>
        <x:v>0.00028672</x:v>
      </x:c>
      <x:c r="J30" s="66" t="n">
        <x:f>(MAX((((IF(('01_Inputs'!$C$21)&gt;1,1,0)))*(0)/(('01_Inputs'!$C$33)*('02_HW'!$C$6))*('02_HW'!$C$10)),(((IF(('01_Inputs'!$C$21)&gt;1,1,0)))*(((IF(('01_Inputs'!$C$21)=1,0,('01_Inputs'!$C$65)*('01_Inputs'!$C$10)*('01_Inputs'!$C$14)*('01_Inputs'!$C$21)*(('01_Inputs'!$C$13)*('01_Inputs'!$C$19)+('01_Inputs'!$C$20)))))+((((('01_Inputs'!$C$65)*('01_Inputs'!$C$10)))*((('01_Inputs'!$C$14)*('01_Inputs'!$C$13)))*('01_Inputs'!$C$16)))+(0))/(('01_Inputs'!$C$34)*('02_HW'!$C$7))*('02_HW'!$C$10)))+((IF(('01_Inputs'!$C$21)&gt;1,1,0)))*('02_HW'!$C$9)*('02_HW'!$C$10))</x:f>
        <x:v>0.00057344</x:v>
      </x:c>
      <x:c r="K30" s="66" t="n">
        <x:f>(MAX((((IF(('01_Inputs'!$C$21)&gt;1,1,0)))*(0)/(('01_Inputs'!$C$33)*('02_HW'!$C$6))*('02_HW'!$C$10)),(((IF(('01_Inputs'!$C$21)&gt;1,1,0)))*(((IF(('01_Inputs'!$C$21)=1,0,('01_Inputs'!$D$65)*('01_Inputs'!$C$10)*('01_Inputs'!$C$14)*('01_Inputs'!$C$21)*(('01_Inputs'!$C$13)*('01_Inputs'!$C$19)+('01_Inputs'!$C$20)))))+((((('01_Inputs'!$D$65)*('01_Inputs'!$C$10)))*((('01_Inputs'!$C$14)*('01_Inputs'!$C$13)))*('01_Inputs'!$C$16)))+(0))/(('01_Inputs'!$C$34)*('02_HW'!$C$7))*('02_HW'!$C$10)))+((IF(('01_Inputs'!$C$21)&gt;1,1,0)))*('02_HW'!$C$9)*('02_HW'!$C$10))</x:f>
        <x:v>0.00114688</x:v>
      </x:c>
      <x:c r="L30" s="66" t="n">
        <x:f>(MAX((((IF(('01_Inputs'!$C$21)&gt;1,1,0)))*(0)/(('01_Inputs'!$C$33)*('02_HW'!$C$6))*('02_HW'!$C$10)),(((IF(('01_Inputs'!$C$21)&gt;1,1,0)))*(((IF(('01_Inputs'!$C$21)=1,0,('01_Inputs'!$E$65)*('01_Inputs'!$C$10)*('01_Inputs'!$C$14)*('01_Inputs'!$C$21)*(('01_Inputs'!$C$13)*('01_Inputs'!$C$19)+('01_Inputs'!$C$20)))))+((((('01_Inputs'!$E$65)*('01_Inputs'!$C$10)))*((('01_Inputs'!$C$14)*('01_Inputs'!$C$13)))*('01_Inputs'!$C$16)))+(0))/(('01_Inputs'!$C$34)*('02_HW'!$C$7))*('02_HW'!$C$10)))+((IF(('01_Inputs'!$C$21)&gt;1,1,0)))*('02_HW'!$C$9)*('02_HW'!$C$10))</x:f>
        <x:v>0.00229376</x:v>
      </x:c>
      <x:c r="M30" s="66" t="n">
        <x:f>(MAX((((IF(('01_Inputs'!$C$21)&gt;1,1,0)))*(0)/(('01_Inputs'!$C$33)*('02_HW'!$C$6))*('02_HW'!$C$10)),(((IF(('01_Inputs'!$C$21)&gt;1,1,0)))*(((IF(('01_Inputs'!$C$21)=1,0,('01_Inputs'!$F$65)*('01_Inputs'!$C$10)*('01_Inputs'!$C$14)*('01_Inputs'!$C$21)*(('01_Inputs'!$C$13)*('01_Inputs'!$C$19)+('01_Inputs'!$C$20)))))+((((('01_Inputs'!$F$65)*('01_Inputs'!$C$10)))*((('01_Inputs'!$C$14)*('01_Inputs'!$C$13)))*('01_Inputs'!$C$16)))+(0))/(('01_Inputs'!$C$34)*('02_HW'!$C$7))*('02_HW'!$C$10)))+((IF(('01_Inputs'!$C$21)&gt;1,1,0)))*('02_HW'!$C$9)*('02_HW'!$C$10))</x:f>
        <x:v>0.00458752</x:v>
      </x:c>
      <x:c r="N30" s="66" t="n">
        <x:f>(MAX((((IF(('01_Inputs'!$C$21)&gt;1,1,0)))*(0)/(('01_Inputs'!$C$33)*('02_HW'!$C$6))*('02_HW'!$C$10)),(((IF(('01_Inputs'!$C$21)&gt;1,1,0)))*(((IF(('01_Inputs'!$C$21)=1,0,('01_Inputs'!$G$65)*('01_Inputs'!$C$10)*('01_Inputs'!$C$14)*('01_Inputs'!$C$21)*(('01_Inputs'!$C$13)*('01_Inputs'!$C$19)+('01_Inputs'!$C$20)))))+((((('01_Inputs'!$G$65)*('01_Inputs'!$C$10)))*((('01_Inputs'!$C$14)*('01_Inputs'!$C$13)))*('01_Inputs'!$C$16)))+(0))/(('01_Inputs'!$C$34)*('02_HW'!$C$7))*('02_HW'!$C$10)))+((IF(('01_Inputs'!$C$21)&gt;1,1,0)))*('02_HW'!$C$9)*('02_HW'!$C$10))</x:f>
        <x:v>0.00917504</x:v>
      </x:c>
    </x:row>
    <x:row r="31">
      <x:c r="A31" s="21" t="str">
        <x:v>attention</x:v>
      </x:c>
      <x:c r="B31" s="21" t="str">
        <x:v>output_projection</x:v>
      </x:c>
      <x:c r="C31" s="66" t="n">
        <x:f>(MAX(((1)*((2*((('01_Inputs'!$C$5)*('01_Inputs'!$C$10)))*((('01_Inputs'!$C$14)*('01_Inputs'!$C$13)))*('01_Inputs'!$C$12)))/(('01_Inputs'!$C$33)*('02_HW'!$C$6))*('02_HW'!$C$10)),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D31" s="66" t="n">
        <x:f>(MAX(((1)*((2*((('01_Inputs'!$C$5)*('01_Inputs'!$C$10)))*((('01_Inputs'!$C$14)*('01_Inputs'!$C$13)))*('01_Inputs'!$C$12)))/(('01_Inputs'!$C$33)*('02_HW'!$C$6))*('02_HW'!$C$10)),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E31" s="66" t="n">
        <x:f>(MAX(((1)*((2*((('01_Inputs'!$C$5)*('01_Inputs'!$C$10)))*((('01_Inputs'!$C$14)*('01_Inputs'!$C$13)))*('01_Inputs'!$C$12)))/(('01_Inputs'!$C$33)*('02_HW'!$C$6))*('02_HW'!$C$10)),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F31" s="66" t="n">
        <x:f>(MAX(((1)*((2*((('01_Inputs'!$C$5)*('01_Inputs'!$C$10)))*((('01_Inputs'!$C$14)*('01_Inputs'!$C$13)))*('01_Inputs'!$C$12)))/(('01_Inputs'!$C$33)*('02_HW'!$C$6))*('02_HW'!$C$10)),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G31" s="66" t="n">
        <x:f>(MAX(((1)*((2*((('01_Inputs'!$C$5)*('01_Inputs'!$C$10)))*((('01_Inputs'!$C$14)*('01_Inputs'!$C$13)))*('01_Inputs'!$C$12)))/(('01_Inputs'!$C$33)*('02_HW'!$C$6))*('02_HW'!$C$10)),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H31" s="66" t="n">
        <x:f>(MAX(((1)*((2*((('01_Inputs'!$C$5)*('01_Inputs'!$C$10)))*((('01_Inputs'!$C$14)*('01_Inputs'!$C$13)))*('01_Inputs'!$C$12)))/(('01_Inputs'!$C$33)*('02_HW'!$C$6))*('02_HW'!$C$10)),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I31" s="66" t="n">
        <x:f>(MAX(((1)*((2*((('01_Inputs'!$B$65)*('01_Inputs'!$C$10)))*((('01_Inputs'!$C$14)*('01_Inputs'!$C$13)))*('01_Inputs'!$C$12)))/(('01_Inputs'!$C$33)*('02_HW'!$C$6))*('02_HW'!$C$10)),((1)*(((((('01_Inputs'!$B$65)*('01_Inputs'!$C$10)))*((('01_Inputs'!$C$14)*('01_Inputs'!$C$13)))*('01_Inputs'!$C$16)+((('01_Inputs'!$C$14)*('01_Inputs'!$C$13)))*('01_Inputs'!$C$12)*('01_Inputs'!$C$17)))+(0)+((((('01_Inputs'!$B$65)*('01_Inputs'!$C$10)))*('01_Inputs'!$C$12)*('01_Inputs'!$C$16))))/(('01_Inputs'!$C$34)*('02_HW'!$C$7))*('02_HW'!$C$10)))+(1)*('02_HW'!$C$9)*('02_HW'!$C$10))</x:f>
        <x:v>0.009070979459459458</x:v>
      </x:c>
      <x:c r="J31" s="66" t="n">
        <x:f>(MAX(((1)*((2*((('01_Inputs'!$C$65)*('01_Inputs'!$C$10)))*((('01_Inputs'!$C$14)*('01_Inputs'!$C$13)))*('01_Inputs'!$C$12)))/(('01_Inputs'!$C$33)*('02_HW'!$C$6))*('02_HW'!$C$10)),((1)*(((((('01_Inputs'!$C$65)*('01_Inputs'!$C$10)))*((('01_Inputs'!$C$14)*('01_Inputs'!$C$13)))*('01_Inputs'!$C$16)+((('01_Inputs'!$C$14)*('01_Inputs'!$C$13)))*('01_Inputs'!$C$12)*('01_Inputs'!$C$17)))+(0)+((((('01_Inputs'!$C$65)*('01_Inputs'!$C$10)))*('01_Inputs'!$C$12)*('01_Inputs'!$C$16))))/(('01_Inputs'!$C$34)*('02_HW'!$C$7))*('02_HW'!$C$10)))+(1)*('02_HW'!$C$9)*('02_HW'!$C$10))</x:f>
        <x:v>0.009073193513513513</x:v>
      </x:c>
      <x:c r="K31" s="66" t="n">
        <x:f>(MAX(((1)*((2*((('01_Inputs'!$D$65)*('01_Inputs'!$C$10)))*((('01_Inputs'!$C$14)*('01_Inputs'!$C$13)))*('01_Inputs'!$C$12)))/(('01_Inputs'!$C$33)*('02_HW'!$C$6))*('02_HW'!$C$10)),((1)*(((((('01_Inputs'!$D$65)*('01_Inputs'!$C$10)))*((('01_Inputs'!$C$14)*('01_Inputs'!$C$13)))*('01_Inputs'!$C$16)+((('01_Inputs'!$C$14)*('01_Inputs'!$C$13)))*('01_Inputs'!$C$12)*('01_Inputs'!$C$17)))+(0)+((((('01_Inputs'!$D$65)*('01_Inputs'!$C$10)))*('01_Inputs'!$C$12)*('01_Inputs'!$C$16))))/(('01_Inputs'!$C$34)*('02_HW'!$C$7))*('02_HW'!$C$10)))+(1)*('02_HW'!$C$9)*('02_HW'!$C$10))</x:f>
        <x:v>0.009077621621621621</x:v>
      </x:c>
      <x:c r="L31" s="66" t="n">
        <x:f>(MAX(((1)*((2*((('01_Inputs'!$E$65)*('01_Inputs'!$C$10)))*((('01_Inputs'!$C$14)*('01_Inputs'!$C$13)))*('01_Inputs'!$C$12)))/(('01_Inputs'!$C$33)*('02_HW'!$C$6))*('02_HW'!$C$10)),((1)*(((((('01_Inputs'!$E$65)*('01_Inputs'!$C$10)))*((('01_Inputs'!$C$14)*('01_Inputs'!$C$13)))*('01_Inputs'!$C$16)+((('01_Inputs'!$C$14)*('01_Inputs'!$C$13)))*('01_Inputs'!$C$12)*('01_Inputs'!$C$17)))+(0)+((((('01_Inputs'!$E$65)*('01_Inputs'!$C$10)))*('01_Inputs'!$C$12)*('01_Inputs'!$C$16))))/(('01_Inputs'!$C$34)*('02_HW'!$C$7))*('02_HW'!$C$10)))+(1)*('02_HW'!$C$9)*('02_HW'!$C$10))</x:f>
        <x:v>0.009086477837837838</x:v>
      </x:c>
      <x:c r="M31" s="66" t="n">
        <x:f>(MAX(((1)*((2*((('01_Inputs'!$F$65)*('01_Inputs'!$C$10)))*((('01_Inputs'!$C$14)*('01_Inputs'!$C$13)))*('01_Inputs'!$C$12)))/(('01_Inputs'!$C$33)*('02_HW'!$C$6))*('02_HW'!$C$10)),((1)*(((((('01_Inputs'!$F$65)*('01_Inputs'!$C$10)))*((('01_Inputs'!$C$14)*('01_Inputs'!$C$13)))*('01_Inputs'!$C$16)+((('01_Inputs'!$C$14)*('01_Inputs'!$C$13)))*('01_Inputs'!$C$12)*('01_Inputs'!$C$17)))+(0)+((((('01_Inputs'!$F$65)*('01_Inputs'!$C$10)))*('01_Inputs'!$C$12)*('01_Inputs'!$C$16))))/(('01_Inputs'!$C$34)*('02_HW'!$C$7))*('02_HW'!$C$10)))+(1)*('02_HW'!$C$9)*('02_HW'!$C$10))</x:f>
        <x:v>0.009104190270270271</x:v>
      </x:c>
      <x:c r="N31" s="66" t="n">
        <x:f>(MAX(((1)*((2*((('01_Inputs'!$G$65)*('01_Inputs'!$C$10)))*((('01_Inputs'!$C$14)*('01_Inputs'!$C$13)))*('01_Inputs'!$C$12)))/(('01_Inputs'!$C$33)*('02_HW'!$C$6))*('02_HW'!$C$10)),((1)*(((((('01_Inputs'!$G$65)*('01_Inputs'!$C$10)))*((('01_Inputs'!$C$14)*('01_Inputs'!$C$13)))*('01_Inputs'!$C$16)+((('01_Inputs'!$C$14)*('01_Inputs'!$C$13)))*('01_Inputs'!$C$12)*('01_Inputs'!$C$17)))+(0)+((((('01_Inputs'!$G$65)*('01_Inputs'!$C$10)))*('01_Inputs'!$C$12)*('01_Inputs'!$C$16))))/(('01_Inputs'!$C$34)*('02_HW'!$C$7))*('02_HW'!$C$10)))+(1)*('02_HW'!$C$9)*('02_HW'!$C$10))</x:f>
        <x:v>0.009139615135135136</x:v>
      </x:c>
    </x:row>
    <x:row r="32">
      <x:c r="A32" s="21" t="str">
        <x:v>moe</x:v>
      </x:c>
      <x:c r="B32" s="21" t="str">
        <x:v>moe_router</x:v>
      </x:c>
      <x:c r="C32" s="66" t="n">
        <x:f>(MAX(((1)*((2*((('01_Inputs'!$C$5)*('01_Inputs'!$C$10)))*('01_Inputs'!$C$12)*('01_Inputs'!$C$25)+('01_Inputs'!$C$29)*((('01_Inputs'!$C$5)*('01_Inputs'!$C$10)))*('01_Inputs'!$C$25)))/(('01_Inputs'!$C$33)*('02_HW'!$C$6))*('02_HW'!$C$10)),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)+(1)*('02_HW'!$C$9)*('02_HW'!$C$10))</x:f>
        <x:v>0.00017715891891891892</x:v>
      </x:c>
      <x:c r="D32" s="66" t="n">
        <x:f>(MAX(((1)*((2*((('01_Inputs'!$C$5)*('01_Inputs'!$C$10)))*('01_Inputs'!$C$12)*('01_Inputs'!$C$25)+('01_Inputs'!$C$29)*((('01_Inputs'!$C$5)*('01_Inputs'!$C$10)))*('01_Inputs'!$C$25)))/(('01_Inputs'!$C$33)*('02_HW'!$C$6))*('02_HW'!$C$10)),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)+(1)*('02_HW'!$C$9)*('02_HW'!$C$10))</x:f>
        <x:v>0.00017715891891891892</x:v>
      </x:c>
      <x:c r="E32" s="66" t="n">
        <x:f>(MAX(((1)*((2*((('01_Inputs'!$C$5)*('01_Inputs'!$C$10)))*('01_Inputs'!$C$12)*('01_Inputs'!$C$25)+('01_Inputs'!$C$29)*((('01_Inputs'!$C$5)*('01_Inputs'!$C$10)))*('01_Inputs'!$C$25)))/(('01_Inputs'!$C$33)*('02_HW'!$C$6))*('02_HW'!$C$10)),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)+(1)*('02_HW'!$C$9)*('02_HW'!$C$10))</x:f>
        <x:v>0.00017715891891891892</x:v>
      </x:c>
      <x:c r="F32" s="66" t="n">
        <x:f>(MAX(((1)*((2*((('01_Inputs'!$C$5)*('01_Inputs'!$C$10)))*('01_Inputs'!$C$12)*('01_Inputs'!$C$25)+('01_Inputs'!$C$29)*((('01_Inputs'!$C$5)*('01_Inputs'!$C$10)))*('01_Inputs'!$C$25)))/(('01_Inputs'!$C$33)*('02_HW'!$C$6))*('02_HW'!$C$10)),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)+(1)*('02_HW'!$C$9)*('02_HW'!$C$10))</x:f>
        <x:v>0.00017715891891891892</x:v>
      </x:c>
      <x:c r="G32" s="66" t="n">
        <x:f>(MAX(((1)*((2*((('01_Inputs'!$C$5)*('01_Inputs'!$C$10)))*('01_Inputs'!$C$12)*('01_Inputs'!$C$25)+('01_Inputs'!$C$29)*((('01_Inputs'!$C$5)*('01_Inputs'!$C$10)))*('01_Inputs'!$C$25)))/(('01_Inputs'!$C$33)*('02_HW'!$C$6))*('02_HW'!$C$10)),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)+(1)*('02_HW'!$C$9)*('02_HW'!$C$10))</x:f>
        <x:v>0.00017715891891891892</x:v>
      </x:c>
      <x:c r="H32" s="66" t="n">
        <x:f>(MAX(((1)*((2*((('01_Inputs'!$C$5)*('01_Inputs'!$C$10)))*('01_Inputs'!$C$12)*('01_Inputs'!$C$25)+('01_Inputs'!$C$29)*((('01_Inputs'!$C$5)*('01_Inputs'!$C$10)))*('01_Inputs'!$C$25)))/(('01_Inputs'!$C$33)*('02_HW'!$C$6))*('02_HW'!$C$10)),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)+(1)*('02_HW'!$C$9)*('02_HW'!$C$10))</x:f>
        <x:v>0.00017715891891891892</x:v>
      </x:c>
      <x:c r="I32" s="66" t="n">
        <x:f>(MAX(((1)*((2*((('01_Inputs'!$B$65)*('01_Inputs'!$C$10)))*('01_Inputs'!$C$12)*('01_Inputs'!$C$25)+('01_Inputs'!$C$29)*((('01_Inputs'!$B$65)*('01_Inputs'!$C$10)))*('01_Inputs'!$C$25)))/(('01_Inputs'!$C$33)*('02_HW'!$C$6))*('02_HW'!$C$10)),((1)*(((((((('01_Inputs'!$B$65)*('01_Inputs'!$C$10)))*('01_Inputs'!$C$12)*('01_Inputs'!$C$16)))+('01_Inputs'!$C$12)*('01_Inputs'!$C$25)*('01_Inputs'!$C$17)))+(0)+((((('01_Inputs'!$B$65)*('01_Inputs'!$C$10)))*('01_Inputs'!$C$26)*('01_Inputs'!$C$30))))/(('01_Inputs'!$C$34)*('02_HW'!$C$7))*('02_HW'!$C$10)))+(1)*('02_HW'!$C$9)*('02_HW'!$C$10))</x:f>
        <x:v>0.00014280756756756757</x:v>
      </x:c>
      <x:c r="J32" s="66" t="n">
        <x:f>(MAX(((1)*((2*((('01_Inputs'!$C$65)*('01_Inputs'!$C$10)))*('01_Inputs'!$C$12)*('01_Inputs'!$C$25)+('01_Inputs'!$C$29)*((('01_Inputs'!$C$65)*('01_Inputs'!$C$10)))*('01_Inputs'!$C$25)))/(('01_Inputs'!$C$33)*('02_HW'!$C$6))*('02_HW'!$C$10)),((1)*(((((((('01_Inputs'!$C$65)*('01_Inputs'!$C$10)))*('01_Inputs'!$C$12)*('01_Inputs'!$C$16)))+('01_Inputs'!$C$12)*('01_Inputs'!$C$25)*('01_Inputs'!$C$17)))+(0)+((((('01_Inputs'!$C$65)*('01_Inputs'!$C$10)))*('01_Inputs'!$C$26)*('01_Inputs'!$C$30))))/(('01_Inputs'!$C$34)*('02_HW'!$C$7))*('02_HW'!$C$10)))+(1)*('02_HW'!$C$9)*('02_HW'!$C$10))</x:f>
        <x:v>0.0001439156756756757</x:v>
      </x:c>
      <x:c r="K32" s="66" t="n">
        <x:f>(MAX(((1)*((2*((('01_Inputs'!$D$65)*('01_Inputs'!$C$10)))*('01_Inputs'!$C$12)*('01_Inputs'!$C$25)+('01_Inputs'!$C$29)*((('01_Inputs'!$D$65)*('01_Inputs'!$C$10)))*('01_Inputs'!$C$25)))/(('01_Inputs'!$C$33)*('02_HW'!$C$6))*('02_HW'!$C$10)),((1)*(((((((('01_Inputs'!$D$65)*('01_Inputs'!$C$10)))*('01_Inputs'!$C$12)*('01_Inputs'!$C$16)))+('01_Inputs'!$C$12)*('01_Inputs'!$C$25)*('01_Inputs'!$C$17)))+(0)+((((('01_Inputs'!$D$65)*('01_Inputs'!$C$10)))*('01_Inputs'!$C$26)*('01_Inputs'!$C$30))))/(('01_Inputs'!$C$34)*('02_HW'!$C$7))*('02_HW'!$C$10)))+(1)*('02_HW'!$C$9)*('02_HW'!$C$10))</x:f>
        <x:v>0.00014613189189189188</x:v>
      </x:c>
      <x:c r="L32" s="66" t="n">
        <x:f>(MAX(((1)*((2*((('01_Inputs'!$E$65)*('01_Inputs'!$C$10)))*('01_Inputs'!$C$12)*('01_Inputs'!$C$25)+('01_Inputs'!$C$29)*((('01_Inputs'!$E$65)*('01_Inputs'!$C$10)))*('01_Inputs'!$C$25)))/(('01_Inputs'!$C$33)*('02_HW'!$C$6))*('02_HW'!$C$10)),((1)*(((((((('01_Inputs'!$E$65)*('01_Inputs'!$C$10)))*('01_Inputs'!$C$12)*('01_Inputs'!$C$16)))+('01_Inputs'!$C$12)*('01_Inputs'!$C$25)*('01_Inputs'!$C$17)))+(0)+((((('01_Inputs'!$E$65)*('01_Inputs'!$C$10)))*('01_Inputs'!$C$26)*('01_Inputs'!$C$30))))/(('01_Inputs'!$C$34)*('02_HW'!$C$7))*('02_HW'!$C$10)))+(1)*('02_HW'!$C$9)*('02_HW'!$C$10))</x:f>
        <x:v>0.00015056432432432432</x:v>
      </x:c>
      <x:c r="M32" s="66" t="n">
        <x:f>(MAX(((1)*((2*((('01_Inputs'!$F$65)*('01_Inputs'!$C$10)))*('01_Inputs'!$C$12)*('01_Inputs'!$C$25)+('01_Inputs'!$C$29)*((('01_Inputs'!$F$65)*('01_Inputs'!$C$10)))*('01_Inputs'!$C$25)))/(('01_Inputs'!$C$33)*('02_HW'!$C$6))*('02_HW'!$C$10)),((1)*(((((((('01_Inputs'!$F$65)*('01_Inputs'!$C$10)))*('01_Inputs'!$C$12)*('01_Inputs'!$C$16)))+('01_Inputs'!$C$12)*('01_Inputs'!$C$25)*('01_Inputs'!$C$17)))+(0)+((((('01_Inputs'!$F$65)*('01_Inputs'!$C$10)))*('01_Inputs'!$C$26)*('01_Inputs'!$C$30))))/(('01_Inputs'!$C$34)*('02_HW'!$C$7))*('02_HW'!$C$10)))+(1)*('02_HW'!$C$9)*('02_HW'!$C$10))</x:f>
        <x:v>0.00015942918918918918</x:v>
      </x:c>
      <x:c r="N32" s="66" t="n">
        <x:f>(MAX(((1)*((2*((('01_Inputs'!$G$65)*('01_Inputs'!$C$10)))*('01_Inputs'!$C$12)*('01_Inputs'!$C$25)+('01_Inputs'!$C$29)*((('01_Inputs'!$G$65)*('01_Inputs'!$C$10)))*('01_Inputs'!$C$25)))/(('01_Inputs'!$C$33)*('02_HW'!$C$6))*('02_HW'!$C$10)),((1)*(((((((('01_Inputs'!$G$65)*('01_Inputs'!$C$10)))*('01_Inputs'!$C$12)*('01_Inputs'!$C$16)))+('01_Inputs'!$C$12)*('01_Inputs'!$C$25)*('01_Inputs'!$C$17)))+(0)+((((('01_Inputs'!$G$65)*('01_Inputs'!$C$10)))*('01_Inputs'!$C$26)*('01_Inputs'!$C$30))))/(('01_Inputs'!$C$34)*('02_HW'!$C$7))*('02_HW'!$C$10)))+(1)*('02_HW'!$C$9)*('02_HW'!$C$10))</x:f>
        <x:v>0.00017715891891891892</x:v>
      </x:c>
    </x:row>
    <x:row r="33">
      <x:c r="A33" s="21" t="str">
        <x:v>moe</x:v>
      </x:c>
      <x:c r="B33" s="21" t="str">
        <x:v>moe_dispatch</x:v>
      </x:c>
      <x:c r="C33" s="66" t="n">
        <x:f>(MAX(((1)*(0)/(('01_Inputs'!$C$33)*('02_HW'!$C$6))*('02_HW'!$C$10)),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)+(1)*('02_HW'!$C$9)*('02_HW'!$C$10))</x:f>
        <x:v>0.00007088432432432432</x:v>
      </x:c>
      <x:c r="D33" s="66" t="n">
        <x:f>(MAX(((1)*(0)/(('01_Inputs'!$C$33)*('02_HW'!$C$6))*('02_HW'!$C$10)),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)+(1)*('02_HW'!$C$9)*('02_HW'!$C$10))</x:f>
        <x:v>0.00007088432432432432</x:v>
      </x:c>
      <x:c r="E33" s="66" t="n">
        <x:f>(MAX(((1)*(0)/(('01_Inputs'!$C$33)*('02_HW'!$C$6))*('02_HW'!$C$10)),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)+(1)*('02_HW'!$C$9)*('02_HW'!$C$10))</x:f>
        <x:v>0.00007088432432432432</x:v>
      </x:c>
      <x:c r="F33" s="66" t="n">
        <x:f>(MAX(((1)*(0)/(('01_Inputs'!$C$33)*('02_HW'!$C$6))*('02_HW'!$C$10)),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)+(1)*('02_HW'!$C$9)*('02_HW'!$C$10))</x:f>
        <x:v>0.00007088432432432432</x:v>
      </x:c>
      <x:c r="G33" s="66" t="n">
        <x:f>(MAX(((1)*(0)/(('01_Inputs'!$C$33)*('02_HW'!$C$6))*('02_HW'!$C$10)),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)+(1)*('02_HW'!$C$9)*('02_HW'!$C$10))</x:f>
        <x:v>0.00007088432432432432</x:v>
      </x:c>
      <x:c r="H33" s="66" t="n">
        <x:f>(MAX(((1)*(0)/(('01_Inputs'!$C$33)*('02_HW'!$C$6))*('02_HW'!$C$10)),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)+(1)*('02_HW'!$C$9)*('02_HW'!$C$10))</x:f>
        <x:v>0.00007088432432432432</x:v>
      </x:c>
      <x:c r="I33" s="66" t="n">
        <x:f>(MAX(((1)*(0)/(('01_Inputs'!$C$33)*('02_HW'!$C$6))*('02_HW'!$C$10)),((1)*(((((((('01_Inputs'!$B$65)*('01_Inputs'!$C$10)))*('01_Inputs'!$C$12)*('01_Inputs'!$C$16)))+((((('01_Inputs'!$B$65)*('01_Inputs'!$C$10)))*('01_Inputs'!$C$26)*('01_Inputs'!$C$30)))))+(0)+((((('01_Inputs'!$B$65)*('01_Inputs'!$C$10)))*('01_Inputs'!$C$26)*('01_Inputs'!$C$12)*('01_Inputs'!$C$16))))/(('01_Inputs'!$C$34)*('02_HW'!$C$7))*('02_HW'!$C$10)))+(1)*('02_HW'!$C$9)*('02_HW'!$C$10))</x:f>
        <x:v>0.000002215135135135135</x:v>
      </x:c>
      <x:c r="J33" s="66" t="n">
        <x:f>(MAX(((1)*(0)/(('01_Inputs'!$C$33)*('02_HW'!$C$6))*('02_HW'!$C$10)),((1)*(((((((('01_Inputs'!$C$65)*('01_Inputs'!$C$10)))*('01_Inputs'!$C$12)*('01_Inputs'!$C$16)))+((((('01_Inputs'!$C$65)*('01_Inputs'!$C$10)))*('01_Inputs'!$C$26)*('01_Inputs'!$C$30)))))+(0)+((((('01_Inputs'!$C$65)*('01_Inputs'!$C$10)))*('01_Inputs'!$C$26)*('01_Inputs'!$C$12)*('01_Inputs'!$C$16))))/(('01_Inputs'!$C$34)*('02_HW'!$C$7))*('02_HW'!$C$10)))+(1)*('02_HW'!$C$9)*('02_HW'!$C$10))</x:f>
        <x:v>0.00000443027027027027</x:v>
      </x:c>
      <x:c r="K33" s="66" t="n">
        <x:f>(MAX(((1)*(0)/(('01_Inputs'!$C$33)*('02_HW'!$C$6))*('02_HW'!$C$10)),((1)*(((((((('01_Inputs'!$D$65)*('01_Inputs'!$C$10)))*('01_Inputs'!$C$12)*('01_Inputs'!$C$16)))+((((('01_Inputs'!$D$65)*('01_Inputs'!$C$10)))*('01_Inputs'!$C$26)*('01_Inputs'!$C$30)))))+(0)+((((('01_Inputs'!$D$65)*('01_Inputs'!$C$10)))*('01_Inputs'!$C$26)*('01_Inputs'!$C$12)*('01_Inputs'!$C$16))))/(('01_Inputs'!$C$34)*('02_HW'!$C$7))*('02_HW'!$C$10)))+(1)*('02_HW'!$C$9)*('02_HW'!$C$10))</x:f>
        <x:v>0.00000886054054054054</x:v>
      </x:c>
      <x:c r="L33" s="66" t="n">
        <x:f>(MAX(((1)*(0)/(('01_Inputs'!$C$33)*('02_HW'!$C$6))*('02_HW'!$C$10)),((1)*(((((((('01_Inputs'!$E$65)*('01_Inputs'!$C$10)))*('01_Inputs'!$C$12)*('01_Inputs'!$C$16)))+((((('01_Inputs'!$E$65)*('01_Inputs'!$C$10)))*('01_Inputs'!$C$26)*('01_Inputs'!$C$30)))))+(0)+((((('01_Inputs'!$E$65)*('01_Inputs'!$C$10)))*('01_Inputs'!$C$26)*('01_Inputs'!$C$12)*('01_Inputs'!$C$16))))/(('01_Inputs'!$C$34)*('02_HW'!$C$7))*('02_HW'!$C$10)))+(1)*('02_HW'!$C$9)*('02_HW'!$C$10))</x:f>
        <x:v>0.00001772108108108108</x:v>
      </x:c>
      <x:c r="M33" s="66" t="n">
        <x:f>(MAX(((1)*(0)/(('01_Inputs'!$C$33)*('02_HW'!$C$6))*('02_HW'!$C$10)),((1)*(((((((('01_Inputs'!$F$65)*('01_Inputs'!$C$10)))*('01_Inputs'!$C$12)*('01_Inputs'!$C$16)))+((((('01_Inputs'!$F$65)*('01_Inputs'!$C$10)))*('01_Inputs'!$C$26)*('01_Inputs'!$C$30)))))+(0)+((((('01_Inputs'!$F$65)*('01_Inputs'!$C$10)))*('01_Inputs'!$C$26)*('01_Inputs'!$C$12)*('01_Inputs'!$C$16))))/(('01_Inputs'!$C$34)*('02_HW'!$C$7))*('02_HW'!$C$10)))+(1)*('02_HW'!$C$9)*('02_HW'!$C$10))</x:f>
        <x:v>0.00003544216216216216</x:v>
      </x:c>
      <x:c r="N33" s="66" t="n">
        <x:f>(MAX(((1)*(0)/(('01_Inputs'!$C$33)*('02_HW'!$C$6))*('02_HW'!$C$10)),((1)*(((((((('01_Inputs'!$G$65)*('01_Inputs'!$C$10)))*('01_Inputs'!$C$12)*('01_Inputs'!$C$16)))+((((('01_Inputs'!$G$65)*('01_Inputs'!$C$10)))*('01_Inputs'!$C$26)*('01_Inputs'!$C$30)))))+(0)+((((('01_Inputs'!$G$65)*('01_Inputs'!$C$10)))*('01_Inputs'!$C$26)*('01_Inputs'!$C$12)*('01_Inputs'!$C$16))))/(('01_Inputs'!$C$34)*('02_HW'!$C$7))*('02_HW'!$C$10)))+(1)*('02_HW'!$C$9)*('02_HW'!$C$10))</x:f>
        <x:v>0.00007088432432432432</x:v>
      </x:c>
    </x:row>
    <x:row r="34">
      <x:c r="A34" s="21" t="str">
        <x:v>moe</x:v>
      </x:c>
      <x:c r="B34" s="21" t="str">
        <x:v>expert_up_projection</x:v>
      </x:c>
      <x:c r="C34" s="66" t="n">
        <x:f>(MAX(((1)*((2*((('01_Inputs'!$C$5)*('01_Inputs'!$C$10)))*('01_Inputs'!$C$26)*('01_Inputs'!$C$12)*('01_Inputs'!$C$27)))/(('01_Inputs'!$C$33)*('02_HW'!$C$6))*('02_HW'!$C$10)),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D34" s="66" t="n">
        <x:f>(MAX(((1)*((2*((('01_Inputs'!$C$5)*('01_Inputs'!$C$10)))*('01_Inputs'!$C$26)*('01_Inputs'!$C$12)*('01_Inputs'!$C$27)))/(('01_Inputs'!$C$33)*('02_HW'!$C$6))*('02_HW'!$C$10)),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E34" s="66" t="n">
        <x:f>(MAX(((1)*((2*((('01_Inputs'!$C$5)*('01_Inputs'!$C$10)))*('01_Inputs'!$C$26)*('01_Inputs'!$C$12)*('01_Inputs'!$C$27)))/(('01_Inputs'!$C$33)*('02_HW'!$C$6))*('02_HW'!$C$10)),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F34" s="66" t="n">
        <x:f>(MAX(((1)*((2*((('01_Inputs'!$C$5)*('01_Inputs'!$C$10)))*('01_Inputs'!$C$26)*('01_Inputs'!$C$12)*('01_Inputs'!$C$27)))/(('01_Inputs'!$C$33)*('02_HW'!$C$6))*('02_HW'!$C$10)),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G34" s="66" t="n">
        <x:f>(MAX(((1)*((2*((('01_Inputs'!$C$5)*('01_Inputs'!$C$10)))*('01_Inputs'!$C$26)*('01_Inputs'!$C$12)*('01_Inputs'!$C$27)))/(('01_Inputs'!$C$33)*('02_HW'!$C$6))*('02_HW'!$C$10)),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H34" s="66" t="n">
        <x:f>(MAX(((1)*((2*((('01_Inputs'!$C$5)*('01_Inputs'!$C$10)))*('01_Inputs'!$C$26)*('01_Inputs'!$C$12)*('01_Inputs'!$C$27)))/(('01_Inputs'!$C$33)*('02_HW'!$C$6))*('02_HW'!$C$10)),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I34" s="66" t="n">
        <x:f>(MAX(((1)*((2*((('01_Inputs'!$B$65)*('01_Inputs'!$C$10)))*('01_Inputs'!$C$26)*('01_Inputs'!$C$12)*('01_Inputs'!$C$27)))/(('01_Inputs'!$C$33)*('02_HW'!$C$6))*('02_HW'!$C$10)),((1)*(((((((('01_Inputs'!$B$65)*('01_Inputs'!$C$10)))*('01_Inputs'!$C$26)*('01_Inputs'!$C$12)*('01_Inputs'!$C$16)))+((((IF(('01_Inputs'!$C$31)&gt;0,('01_Inputs'!$C$31),('01_Inputs'!$C$25)*(1-POWER(1-1/('01_Inputs'!$C$25),((('01_Inputs'!$B$65)*('01_Inputs'!$C$10)))*('01_Inputs'!$C$26))))))*('01_Inputs'!$C$12)*('01_Inputs'!$C$27)*('01_Inputs'!$C$17)*('01_Inputs'!$C$32)))))+(0)+((IF(('01_Inputs'!$C$36)=1,0,((((('01_Inputs'!$B$65)*('01_Inputs'!$C$10)))*('01_Inputs'!$C$26)*('01_Inputs'!$C$27)*('01_Inputs'!$C$16)))))))/(('01_Inputs'!$C$34)*('02_HW'!$C$7))*('02_HW'!$C$10)))+(1)*('02_HW'!$C$9)*('02_HW'!$C$10))</x:f>
        <x:v>0.01814085189189189</x:v>
      </x:c>
      <x:c r="J34" s="66" t="n">
        <x:f>(MAX(((1)*((2*((('01_Inputs'!$C$65)*('01_Inputs'!$C$10)))*('01_Inputs'!$C$26)*('01_Inputs'!$C$12)*('01_Inputs'!$C$27)))/(('01_Inputs'!$C$33)*('02_HW'!$C$6))*('02_HW'!$C$10)),((1)*(((((((('01_Inputs'!$C$65)*('01_Inputs'!$C$10)))*('01_Inputs'!$C$26)*('01_Inputs'!$C$12)*('01_Inputs'!$C$16)))+((((IF(('01_Inputs'!$C$31)&gt;0,('01_Inputs'!$C$31),('01_Inputs'!$C$25)*(1-POWER(1-1/('01_Inputs'!$C$25),((('01_Inputs'!$C$65)*('01_Inputs'!$C$10)))*('01_Inputs'!$C$26))))))*('01_Inputs'!$C$12)*('01_Inputs'!$C$27)*('01_Inputs'!$C$17)*('01_Inputs'!$C$32)))))+(0)+((IF(('01_Inputs'!$C$36)=1,0,((((('01_Inputs'!$C$65)*('01_Inputs'!$C$10)))*('01_Inputs'!$C$26)*('01_Inputs'!$C$27)*('01_Inputs'!$C$16)))))))/(('01_Inputs'!$C$34)*('02_HW'!$C$7))*('02_HW'!$C$10)))+(1)*('02_HW'!$C$9)*('02_HW'!$C$10))</x:f>
        <x:v>0.03614000432432432</x:v>
      </x:c>
      <x:c r="K34" s="66" t="n">
        <x:f>(MAX(((1)*((2*((('01_Inputs'!$D$65)*('01_Inputs'!$C$10)))*('01_Inputs'!$C$26)*('01_Inputs'!$C$12)*('01_Inputs'!$C$27)))/(('01_Inputs'!$C$33)*('02_HW'!$C$6))*('02_HW'!$C$10)),((1)*(((((((('01_Inputs'!$D$65)*('01_Inputs'!$C$10)))*('01_Inputs'!$C$26)*('01_Inputs'!$C$12)*('01_Inputs'!$C$16)))+((((IF(('01_Inputs'!$C$31)&gt;0,('01_Inputs'!$C$31),('01_Inputs'!$C$25)*(1-POWER(1-1/('01_Inputs'!$C$25),((('01_Inputs'!$D$65)*('01_Inputs'!$C$10)))*('01_Inputs'!$C$26))))))*('01_Inputs'!$C$12)*('01_Inputs'!$C$27)*('01_Inputs'!$C$17)*('01_Inputs'!$C$32)))))+(0)+((IF(('01_Inputs'!$C$36)=1,0,((((('01_Inputs'!$D$65)*('01_Inputs'!$C$10)))*('01_Inputs'!$C$26)*('01_Inputs'!$C$27)*('01_Inputs'!$C$16)))))))/(('01_Inputs'!$C$34)*('02_HW'!$C$7))*('02_HW'!$C$10)))+(1)*('02_HW'!$C$9)*('02_HW'!$C$10))</x:f>
        <x:v>0.07171763027027027</x:v>
      </x:c>
      <x:c r="L34" s="66" t="n">
        <x:f>(MAX(((1)*((2*((('01_Inputs'!$E$65)*('01_Inputs'!$C$10)))*('01_Inputs'!$C$26)*('01_Inputs'!$C$12)*('01_Inputs'!$C$27)))/(('01_Inputs'!$C$33)*('02_HW'!$C$6))*('02_HW'!$C$10)),((1)*(((((((('01_Inputs'!$E$65)*('01_Inputs'!$C$10)))*('01_Inputs'!$C$26)*('01_Inputs'!$C$12)*('01_Inputs'!$C$16)))+((((IF(('01_Inputs'!$C$31)&gt;0,('01_Inputs'!$C$31),('01_Inputs'!$C$25)*(1-POWER(1-1/('01_Inputs'!$C$25),((('01_Inputs'!$E$65)*('01_Inputs'!$C$10)))*('01_Inputs'!$C$26))))))*('01_Inputs'!$C$12)*('01_Inputs'!$C$27)*('01_Inputs'!$C$17)*('01_Inputs'!$C$32)))))+(0)+((IF(('01_Inputs'!$C$36)=1,0,((((('01_Inputs'!$E$65)*('01_Inputs'!$C$10)))*('01_Inputs'!$C$26)*('01_Inputs'!$C$27)*('01_Inputs'!$C$16)))))))/(('01_Inputs'!$C$34)*('02_HW'!$C$7))*('02_HW'!$C$10)))+(1)*('02_HW'!$C$9)*('02_HW'!$C$10))</x:f>
        <x:v>0.14122062214741476</x:v>
      </x:c>
      <x:c r="M34" s="66" t="n">
        <x:f>(MAX(((1)*((2*((('01_Inputs'!$F$65)*('01_Inputs'!$C$10)))*('01_Inputs'!$C$26)*('01_Inputs'!$C$12)*('01_Inputs'!$C$27)))/(('01_Inputs'!$C$33)*('02_HW'!$C$6))*('02_HW'!$C$10)),((1)*(((((((('01_Inputs'!$F$65)*('01_Inputs'!$C$10)))*('01_Inputs'!$C$26)*('01_Inputs'!$C$12)*('01_Inputs'!$C$16)))+((((IF(('01_Inputs'!$C$31)&gt;0,('01_Inputs'!$C$31),('01_Inputs'!$C$25)*(1-POWER(1-1/('01_Inputs'!$C$25),((('01_Inputs'!$F$65)*('01_Inputs'!$C$10)))*('01_Inputs'!$C$26))))))*('01_Inputs'!$C$12)*('01_Inputs'!$C$27)*('01_Inputs'!$C$17)*('01_Inputs'!$C$32)))))+(0)+((IF(('01_Inputs'!$C$36)=1,0,((((('01_Inputs'!$F$65)*('01_Inputs'!$C$10)))*('01_Inputs'!$C$26)*('01_Inputs'!$C$27)*('01_Inputs'!$C$16)))))))/(('01_Inputs'!$C$34)*('02_HW'!$C$7))*('02_HW'!$C$10)))+(1)*('02_HW'!$C$9)*('02_HW'!$C$10))</x:f>
        <x:v>0.2738541806844355</x:v>
      </x:c>
      <x:c r="N34" s="66" t="n">
        <x:f>(MAX(((1)*((2*((('01_Inputs'!$G$65)*('01_Inputs'!$C$10)))*('01_Inputs'!$C$26)*('01_Inputs'!$C$12)*('01_Inputs'!$C$27)))/(('01_Inputs'!$C$33)*('02_HW'!$C$6))*('02_HW'!$C$10)),((1)*(((((((('01_Inputs'!$G$65)*('01_Inputs'!$C$10)))*('01_Inputs'!$C$26)*('01_Inputs'!$C$12)*('01_Inputs'!$C$16)))+((((IF(('01_Inputs'!$C$31)&gt;0,('01_Inputs'!$C$31),('01_Inputs'!$C$25)*(1-POWER(1-1/('01_Inputs'!$C$25),((('01_Inputs'!$G$65)*('01_Inputs'!$C$10)))*('01_Inputs'!$C$26))))))*('01_Inputs'!$C$12)*('01_Inputs'!$C$27)*('01_Inputs'!$C$17)*('01_Inputs'!$C$32)))))+(0)+((IF(('01_Inputs'!$C$36)=1,0,((((('01_Inputs'!$G$65)*('01_Inputs'!$C$10)))*('01_Inputs'!$C$26)*('01_Inputs'!$C$27)*('01_Inputs'!$C$16)))))))/(('01_Inputs'!$C$34)*('02_HW'!$C$7))*('02_HW'!$C$10)))+(1)*('02_HW'!$C$9)*('02_HW'!$C$10))</x:f>
        <x:v>0.5154173189795723</x:v>
      </x:c>
    </x:row>
    <x:row r="35">
      <x:c r="A35" s="21" t="str">
        <x:v>moe</x:v>
      </x:c>
      <x:c r="B35" s="21" t="str">
        <x:v>expert_gate_projection</x:v>
      </x:c>
      <x:c r="C35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D35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E35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F35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G35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H35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I35" s="66" t="n">
        <x:f>(MAX(((1)*((2*((('01_Inputs'!$B$65)*('01_Inputs'!$C$10)))*('01_Inputs'!$C$26)*('01_Inputs'!$C$12)*('01_Inputs'!$C$27)))/(('01_Inputs'!$C$33)*('02_HW'!$C$6))*('02_HW'!$C$10)),((1)*(((((((IF(('01_Inputs'!$C$31)&gt;0,('01_Inputs'!$C$31),('01_Inputs'!$C$25)*(1-POWER(1-1/('01_Inputs'!$C$25),((('01_Inputs'!$B$65)*('01_Inputs'!$C$10)))*('01_Inputs'!$C$26))))))*('01_Inputs'!$C$12)*('01_Inputs'!$C$27)*('01_Inputs'!$C$17)*('01_Inputs'!$C$32)))+(IF(('01_Inputs'!$C$36)=1,0,((((('01_Inputs'!$B$65)*('01_Inputs'!$C$10)))*('01_Inputs'!$C$26)*('01_Inputs'!$C$12)*('01_Inputs'!$C$16)))))))+(0)+((IF(('01_Inputs'!$C$36)=1,0,((((('01_Inputs'!$B$65)*('01_Inputs'!$C$10)))*('01_Inputs'!$C$26)*('01_Inputs'!$C$27)*('01_Inputs'!$C$16)))))))/(('01_Inputs'!$C$34)*('02_HW'!$C$7))*('02_HW'!$C$10)))+(1)*('02_HW'!$C$9)*('02_HW'!$C$10))</x:f>
        <x:v>0.01814085189189189</x:v>
      </x:c>
      <x:c r="J35" s="66" t="n">
        <x:f>(MAX(((1)*((2*((('01_Inputs'!$C$65)*('01_Inputs'!$C$10)))*('01_Inputs'!$C$26)*('01_Inputs'!$C$12)*('01_Inputs'!$C$27)))/(('01_Inputs'!$C$33)*('02_HW'!$C$6))*('02_HW'!$C$10)),((1)*(((((((IF(('01_Inputs'!$C$31)&gt;0,('01_Inputs'!$C$31),('01_Inputs'!$C$25)*(1-POWER(1-1/('01_Inputs'!$C$25),((('01_Inputs'!$C$65)*('01_Inputs'!$C$10)))*('01_Inputs'!$C$26))))))*('01_Inputs'!$C$12)*('01_Inputs'!$C$27)*('01_Inputs'!$C$17)*('01_Inputs'!$C$32)))+(IF(('01_Inputs'!$C$36)=1,0,((((('01_Inputs'!$C$65)*('01_Inputs'!$C$10)))*('01_Inputs'!$C$26)*('01_Inputs'!$C$12)*('01_Inputs'!$C$16)))))))+(0)+((IF(('01_Inputs'!$C$36)=1,0,((((('01_Inputs'!$C$65)*('01_Inputs'!$C$10)))*('01_Inputs'!$C$26)*('01_Inputs'!$C$27)*('01_Inputs'!$C$16)))))))/(('01_Inputs'!$C$34)*('02_HW'!$C$7))*('02_HW'!$C$10)))+(1)*('02_HW'!$C$9)*('02_HW'!$C$10))</x:f>
        <x:v>0.03614000432432432</x:v>
      </x:c>
      <x:c r="K35" s="66" t="n">
        <x:f>(MAX(((1)*((2*((('01_Inputs'!$D$65)*('01_Inputs'!$C$10)))*('01_Inputs'!$C$26)*('01_Inputs'!$C$12)*('01_Inputs'!$C$27)))/(('01_Inputs'!$C$33)*('02_HW'!$C$6))*('02_HW'!$C$10)),((1)*(((((((IF(('01_Inputs'!$C$31)&gt;0,('01_Inputs'!$C$31),('01_Inputs'!$C$25)*(1-POWER(1-1/('01_Inputs'!$C$25),((('01_Inputs'!$D$65)*('01_Inputs'!$C$10)))*('01_Inputs'!$C$26))))))*('01_Inputs'!$C$12)*('01_Inputs'!$C$27)*('01_Inputs'!$C$17)*('01_Inputs'!$C$32)))+(IF(('01_Inputs'!$C$36)=1,0,((((('01_Inputs'!$D$65)*('01_Inputs'!$C$10)))*('01_Inputs'!$C$26)*('01_Inputs'!$C$12)*('01_Inputs'!$C$16)))))))+(0)+((IF(('01_Inputs'!$C$36)=1,0,((((('01_Inputs'!$D$65)*('01_Inputs'!$C$10)))*('01_Inputs'!$C$26)*('01_Inputs'!$C$27)*('01_Inputs'!$C$16)))))))/(('01_Inputs'!$C$34)*('02_HW'!$C$7))*('02_HW'!$C$10)))+(1)*('02_HW'!$C$9)*('02_HW'!$C$10))</x:f>
        <x:v>0.07171763027027027</x:v>
      </x:c>
      <x:c r="L35" s="66" t="n">
        <x:f>(MAX(((1)*((2*((('01_Inputs'!$E$65)*('01_Inputs'!$C$10)))*('01_Inputs'!$C$26)*('01_Inputs'!$C$12)*('01_Inputs'!$C$27)))/(('01_Inputs'!$C$33)*('02_HW'!$C$6))*('02_HW'!$C$10)),((1)*(((((((IF(('01_Inputs'!$C$31)&gt;0,('01_Inputs'!$C$31),('01_Inputs'!$C$25)*(1-POWER(1-1/('01_Inputs'!$C$25),((('01_Inputs'!$E$65)*('01_Inputs'!$C$10)))*('01_Inputs'!$C$26))))))*('01_Inputs'!$C$12)*('01_Inputs'!$C$27)*('01_Inputs'!$C$17)*('01_Inputs'!$C$32)))+(IF(('01_Inputs'!$C$36)=1,0,((((('01_Inputs'!$E$65)*('01_Inputs'!$C$10)))*('01_Inputs'!$C$26)*('01_Inputs'!$C$12)*('01_Inputs'!$C$16)))))))+(0)+((IF(('01_Inputs'!$C$36)=1,0,((((('01_Inputs'!$E$65)*('01_Inputs'!$C$10)))*('01_Inputs'!$C$26)*('01_Inputs'!$C$27)*('01_Inputs'!$C$16)))))))/(('01_Inputs'!$C$34)*('02_HW'!$C$7))*('02_HW'!$C$10)))+(1)*('02_HW'!$C$9)*('02_HW'!$C$10))</x:f>
        <x:v>0.14122062214741476</x:v>
      </x:c>
      <x:c r="M35" s="66" t="n">
        <x:f>(MAX(((1)*((2*((('01_Inputs'!$F$65)*('01_Inputs'!$C$10)))*('01_Inputs'!$C$26)*('01_Inputs'!$C$12)*('01_Inputs'!$C$27)))/(('01_Inputs'!$C$33)*('02_HW'!$C$6))*('02_HW'!$C$10)),((1)*(((((((IF(('01_Inputs'!$C$31)&gt;0,('01_Inputs'!$C$31),('01_Inputs'!$C$25)*(1-POWER(1-1/('01_Inputs'!$C$25),((('01_Inputs'!$F$65)*('01_Inputs'!$C$10)))*('01_Inputs'!$C$26))))))*('01_Inputs'!$C$12)*('01_Inputs'!$C$27)*('01_Inputs'!$C$17)*('01_Inputs'!$C$32)))+(IF(('01_Inputs'!$C$36)=1,0,((((('01_Inputs'!$F$65)*('01_Inputs'!$C$10)))*('01_Inputs'!$C$26)*('01_Inputs'!$C$12)*('01_Inputs'!$C$16)))))))+(0)+((IF(('01_Inputs'!$C$36)=1,0,((((('01_Inputs'!$F$65)*('01_Inputs'!$C$10)))*('01_Inputs'!$C$26)*('01_Inputs'!$C$27)*('01_Inputs'!$C$16)))))))/(('01_Inputs'!$C$34)*('02_HW'!$C$7))*('02_HW'!$C$10)))+(1)*('02_HW'!$C$9)*('02_HW'!$C$10))</x:f>
        <x:v>0.2738541806844355</x:v>
      </x:c>
      <x:c r="N35" s="66" t="n">
        <x:f>(MAX(((1)*((2*((('01_Inputs'!$G$65)*('01_Inputs'!$C$10)))*('01_Inputs'!$C$26)*('01_Inputs'!$C$12)*('01_Inputs'!$C$27)))/(('01_Inputs'!$C$33)*('02_HW'!$C$6))*('02_HW'!$C$10)),((1)*(((((((IF(('01_Inputs'!$C$31)&gt;0,('01_Inputs'!$C$31),('01_Inputs'!$C$25)*(1-POWER(1-1/('01_Inputs'!$C$25),((('01_Inputs'!$G$65)*('01_Inputs'!$C$10)))*('01_Inputs'!$C$26))))))*('01_Inputs'!$C$12)*('01_Inputs'!$C$27)*('01_Inputs'!$C$17)*('01_Inputs'!$C$32)))+(IF(('01_Inputs'!$C$36)=1,0,((((('01_Inputs'!$G$65)*('01_Inputs'!$C$10)))*('01_Inputs'!$C$26)*('01_Inputs'!$C$12)*('01_Inputs'!$C$16)))))))+(0)+((IF(('01_Inputs'!$C$36)=1,0,((((('01_Inputs'!$G$65)*('01_Inputs'!$C$10)))*('01_Inputs'!$C$26)*('01_Inputs'!$C$27)*('01_Inputs'!$C$16)))))))/(('01_Inputs'!$C$34)*('02_HW'!$C$7))*('02_HW'!$C$10)))+(1)*('02_HW'!$C$9)*('02_HW'!$C$10))</x:f>
        <x:v>0.5154173189795723</x:v>
      </x:c>
    </x:row>
    <x:row r="36">
      <x:c r="A36" s="21" t="str">
        <x:v>moe</x:v>
      </x:c>
      <x:c r="B36" s="21" t="str">
        <x:v>expert_swiglu_activation</x:v>
      </x:c>
      <x:c r="C36" s="66" t="n">
        <x:f>(MAX(((1)*((((('01_Inputs'!$C$5)*('01_Inputs'!$C$10)))*('01_Inputs'!$C$26)*('01_Inputs'!$C$27)*('01_Inputs'!$C$35)))/(('01_Inputs'!$C$33)*('02_HW'!$C$6))*('02_HW'!$C$10)),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0.0002125491891891892</x:v>
      </x:c>
      <x:c r="D36" s="66" t="n">
        <x:f>(MAX(((1)*((((('01_Inputs'!$C$5)*('01_Inputs'!$C$10)))*('01_Inputs'!$C$26)*('01_Inputs'!$C$27)*('01_Inputs'!$C$35)))/(('01_Inputs'!$C$33)*('02_HW'!$C$6))*('02_HW'!$C$10)),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0.0002125491891891892</x:v>
      </x:c>
      <x:c r="E36" s="66" t="n">
        <x:f>(MAX(((1)*((((('01_Inputs'!$C$5)*('01_Inputs'!$C$10)))*('01_Inputs'!$C$26)*('01_Inputs'!$C$27)*('01_Inputs'!$C$35)))/(('01_Inputs'!$C$33)*('02_HW'!$C$6))*('02_HW'!$C$10)),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0.0002125491891891892</x:v>
      </x:c>
      <x:c r="F36" s="66" t="n">
        <x:f>(MAX(((1)*((((('01_Inputs'!$C$5)*('01_Inputs'!$C$10)))*('01_Inputs'!$C$26)*('01_Inputs'!$C$27)*('01_Inputs'!$C$35)))/(('01_Inputs'!$C$33)*('02_HW'!$C$6))*('02_HW'!$C$10)),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0.0002125491891891892</x:v>
      </x:c>
      <x:c r="G36" s="66" t="n">
        <x:f>(MAX(((1)*((((('01_Inputs'!$C$5)*('01_Inputs'!$C$10)))*('01_Inputs'!$C$26)*('01_Inputs'!$C$27)*('01_Inputs'!$C$35)))/(('01_Inputs'!$C$33)*('02_HW'!$C$6))*('02_HW'!$C$10)),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0.0002125491891891892</x:v>
      </x:c>
      <x:c r="H36" s="66" t="n">
        <x:f>(MAX(((1)*((((('01_Inputs'!$C$5)*('01_Inputs'!$C$10)))*('01_Inputs'!$C$26)*('01_Inputs'!$C$27)*('01_Inputs'!$C$35)))/(('01_Inputs'!$C$33)*('02_HW'!$C$6))*('02_HW'!$C$10)),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0.0002125491891891892</x:v>
      </x:c>
      <x:c r="I36" s="66" t="n">
        <x:f>(MAX(((1)*((((('01_Inputs'!$B$65)*('01_Inputs'!$C$10)))*('01_Inputs'!$C$26)*('01_Inputs'!$C$27)*('01_Inputs'!$C$35)))/(('01_Inputs'!$C$33)*('02_HW'!$C$6))*('02_HW'!$C$10)),((1)*(((IF(('01_Inputs'!$C$36)=1,0,(2*((((('01_Inputs'!$B$65)*('01_Inputs'!$C$10)))*('01_Inputs'!$C$26)*('01_Inputs'!$C$27)*('01_Inputs'!$C$16)))))))+(0)+((IF(('01_Inputs'!$C$36)=1,0,((((('01_Inputs'!$B$65)*('01_Inputs'!$C$10)))*('01_Inputs'!$C$26)*('01_Inputs'!$C$27)*('01_Inputs'!$C$16)))))))/(('01_Inputs'!$C$34)*('02_HW'!$C$7))*('02_HW'!$C$10)))+(1)*('02_HW'!$C$9)*('02_HW'!$C$10))</x:f>
        <x:v>0.000006642162162162162</x:v>
      </x:c>
      <x:c r="J36" s="66" t="n">
        <x:f>(MAX(((1)*((((('01_Inputs'!$C$65)*('01_Inputs'!$C$10)))*('01_Inputs'!$C$26)*('01_Inputs'!$C$27)*('01_Inputs'!$C$35)))/(('01_Inputs'!$C$33)*('02_HW'!$C$6))*('02_HW'!$C$10)),((1)*(((IF(('01_Inputs'!$C$36)=1,0,(2*((((('01_Inputs'!$C$65)*('01_Inputs'!$C$10)))*('01_Inputs'!$C$26)*('01_Inputs'!$C$27)*('01_Inputs'!$C$16)))))))+(0)+((IF(('01_Inputs'!$C$36)=1,0,((((('01_Inputs'!$C$65)*('01_Inputs'!$C$10)))*('01_Inputs'!$C$26)*('01_Inputs'!$C$27)*('01_Inputs'!$C$16)))))))/(('01_Inputs'!$C$34)*('02_HW'!$C$7))*('02_HW'!$C$10)))+(1)*('02_HW'!$C$9)*('02_HW'!$C$10))</x:f>
        <x:v>0.000013284324324324324</x:v>
      </x:c>
      <x:c r="K36" s="66" t="n">
        <x:f>(MAX(((1)*((((('01_Inputs'!$D$65)*('01_Inputs'!$C$10)))*('01_Inputs'!$C$26)*('01_Inputs'!$C$27)*('01_Inputs'!$C$35)))/(('01_Inputs'!$C$33)*('02_HW'!$C$6))*('02_HW'!$C$10)),((1)*(((IF(('01_Inputs'!$C$36)=1,0,(2*((((('01_Inputs'!$D$65)*('01_Inputs'!$C$10)))*('01_Inputs'!$C$26)*('01_Inputs'!$C$27)*('01_Inputs'!$C$16)))))))+(0)+((IF(('01_Inputs'!$C$36)=1,0,((((('01_Inputs'!$D$65)*('01_Inputs'!$C$10)))*('01_Inputs'!$C$26)*('01_Inputs'!$C$27)*('01_Inputs'!$C$16)))))))/(('01_Inputs'!$C$34)*('02_HW'!$C$7))*('02_HW'!$C$10)))+(1)*('02_HW'!$C$9)*('02_HW'!$C$10))</x:f>
        <x:v>0.00002656864864864865</x:v>
      </x:c>
      <x:c r="L36" s="66" t="n">
        <x:f>(MAX(((1)*((((('01_Inputs'!$E$65)*('01_Inputs'!$C$10)))*('01_Inputs'!$C$26)*('01_Inputs'!$C$27)*('01_Inputs'!$C$35)))/(('01_Inputs'!$C$33)*('02_HW'!$C$6))*('02_HW'!$C$10)),((1)*(((IF(('01_Inputs'!$C$36)=1,0,(2*((((('01_Inputs'!$E$65)*('01_Inputs'!$C$10)))*('01_Inputs'!$C$26)*('01_Inputs'!$C$27)*('01_Inputs'!$C$16)))))))+(0)+((IF(('01_Inputs'!$C$36)=1,0,((((('01_Inputs'!$E$65)*('01_Inputs'!$C$10)))*('01_Inputs'!$C$26)*('01_Inputs'!$C$27)*('01_Inputs'!$C$16)))))))/(('01_Inputs'!$C$34)*('02_HW'!$C$7))*('02_HW'!$C$10)))+(1)*('02_HW'!$C$9)*('02_HW'!$C$10))</x:f>
        <x:v>0.0000531372972972973</x:v>
      </x:c>
      <x:c r="M36" s="66" t="n">
        <x:f>(MAX(((1)*((((('01_Inputs'!$F$65)*('01_Inputs'!$C$10)))*('01_Inputs'!$C$26)*('01_Inputs'!$C$27)*('01_Inputs'!$C$35)))/(('01_Inputs'!$C$33)*('02_HW'!$C$6))*('02_HW'!$C$10)),((1)*(((IF(('01_Inputs'!$C$36)=1,0,(2*((((('01_Inputs'!$F$65)*('01_Inputs'!$C$10)))*('01_Inputs'!$C$26)*('01_Inputs'!$C$27)*('01_Inputs'!$C$16)))))))+(0)+((IF(('01_Inputs'!$C$36)=1,0,((((('01_Inputs'!$F$65)*('01_Inputs'!$C$10)))*('01_Inputs'!$C$26)*('01_Inputs'!$C$27)*('01_Inputs'!$C$16)))))))/(('01_Inputs'!$C$34)*('02_HW'!$C$7))*('02_HW'!$C$10)))+(1)*('02_HW'!$C$9)*('02_HW'!$C$10))</x:f>
        <x:v>0.0001062745945945946</x:v>
      </x:c>
      <x:c r="N36" s="66" t="n">
        <x:f>(MAX(((1)*((((('01_Inputs'!$G$65)*('01_Inputs'!$C$10)))*('01_Inputs'!$C$26)*('01_Inputs'!$C$27)*('01_Inputs'!$C$35)))/(('01_Inputs'!$C$33)*('02_HW'!$C$6))*('02_HW'!$C$10)),((1)*(((IF(('01_Inputs'!$C$36)=1,0,(2*((((('01_Inputs'!$G$65)*('01_Inputs'!$C$10)))*('01_Inputs'!$C$26)*('01_Inputs'!$C$27)*('01_Inputs'!$C$16)))))))+(0)+((IF(('01_Inputs'!$C$36)=1,0,((((('01_Inputs'!$G$65)*('01_Inputs'!$C$10)))*('01_Inputs'!$C$26)*('01_Inputs'!$C$27)*('01_Inputs'!$C$16)))))))/(('01_Inputs'!$C$34)*('02_HW'!$C$7))*('02_HW'!$C$10)))+(1)*('02_HW'!$C$9)*('02_HW'!$C$10))</x:f>
        <x:v>0.0002125491891891892</x:v>
      </x:c>
    </x:row>
    <x:row r="37">
      <x:c r="A37" s="21" t="str">
        <x:v>moe</x:v>
      </x:c>
      <x:c r="B37" s="21" t="str">
        <x:v>expert_down_projection</x:v>
      </x:c>
      <x:c r="C37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)+(1)*('02_HW'!$C$9)*('02_HW'!$C$10))</x:f>
        <x:v>0.5154173189795723</x:v>
      </x:c>
      <x:c r="D37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)+(1)*('02_HW'!$C$9)*('02_HW'!$C$10))</x:f>
        <x:v>0.5154173189795723</x:v>
      </x:c>
      <x:c r="E37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)+(1)*('02_HW'!$C$9)*('02_HW'!$C$10))</x:f>
        <x:v>0.5154173189795723</x:v>
      </x:c>
      <x:c r="F37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)+(1)*('02_HW'!$C$9)*('02_HW'!$C$10))</x:f>
        <x:v>0.5154173189795723</x:v>
      </x:c>
      <x:c r="G37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)+(1)*('02_HW'!$C$9)*('02_HW'!$C$10))</x:f>
        <x:v>0.5154173189795723</x:v>
      </x:c>
      <x:c r="H37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)+(1)*('02_HW'!$C$9)*('02_HW'!$C$10))</x:f>
        <x:v>0.5154173189795723</x:v>
      </x:c>
      <x:c r="I37" s="66" t="n">
        <x:f>(MAX(((1)*((2*((('01_Inputs'!$B$65)*('01_Inputs'!$C$10)))*('01_Inputs'!$C$26)*('01_Inputs'!$C$12)*('01_Inputs'!$C$27)))/(('01_Inputs'!$C$33)*('02_HW'!$C$6))*('02_HW'!$C$10)),((1)*(((((((IF(('01_Inputs'!$C$31)&gt;0,('01_Inputs'!$C$31),('01_Inputs'!$C$25)*(1-POWER(1-1/('01_Inputs'!$C$25),((('01_Inputs'!$B$65)*('01_Inputs'!$C$10)))*('01_Inputs'!$C$26))))))*('01_Inputs'!$C$12)*('01_Inputs'!$C$27)*('01_Inputs'!$C$17)*('01_Inputs'!$C$32)))+(IF(('01_Inputs'!$C$36)=1,0,((((('01_Inputs'!$B$65)*('01_Inputs'!$C$10)))*('01_Inputs'!$C$26)*('01_Inputs'!$C$27)*('01_Inputs'!$C$16)))))))+(0)+((((('01_Inputs'!$B$65)*('01_Inputs'!$C$10)))*('01_Inputs'!$C$26)*('01_Inputs'!$C$12)*('01_Inputs'!$C$16))))/(('01_Inputs'!$C$34)*('02_HW'!$C$7))*('02_HW'!$C$10)))+(1)*('02_HW'!$C$9)*('02_HW'!$C$10))</x:f>
        <x:v>0.01814085189189189</x:v>
      </x:c>
      <x:c r="J37" s="66" t="n">
        <x:f>(MAX(((1)*((2*((('01_Inputs'!$C$65)*('01_Inputs'!$C$10)))*('01_Inputs'!$C$26)*('01_Inputs'!$C$12)*('01_Inputs'!$C$27)))/(('01_Inputs'!$C$33)*('02_HW'!$C$6))*('02_HW'!$C$10)),((1)*(((((((IF(('01_Inputs'!$C$31)&gt;0,('01_Inputs'!$C$31),('01_Inputs'!$C$25)*(1-POWER(1-1/('01_Inputs'!$C$25),((('01_Inputs'!$C$65)*('01_Inputs'!$C$10)))*('01_Inputs'!$C$26))))))*('01_Inputs'!$C$12)*('01_Inputs'!$C$27)*('01_Inputs'!$C$17)*('01_Inputs'!$C$32)))+(IF(('01_Inputs'!$C$36)=1,0,((((('01_Inputs'!$C$65)*('01_Inputs'!$C$10)))*('01_Inputs'!$C$26)*('01_Inputs'!$C$27)*('01_Inputs'!$C$16)))))))+(0)+((((('01_Inputs'!$C$65)*('01_Inputs'!$C$10)))*('01_Inputs'!$C$26)*('01_Inputs'!$C$12)*('01_Inputs'!$C$16))))/(('01_Inputs'!$C$34)*('02_HW'!$C$7))*('02_HW'!$C$10)))+(1)*('02_HW'!$C$9)*('02_HW'!$C$10))</x:f>
        <x:v>0.03614000432432432</x:v>
      </x:c>
      <x:c r="K37" s="66" t="n">
        <x:f>(MAX(((1)*((2*((('01_Inputs'!$D$65)*('01_Inputs'!$C$10)))*('01_Inputs'!$C$26)*('01_Inputs'!$C$12)*('01_Inputs'!$C$27)))/(('01_Inputs'!$C$33)*('02_HW'!$C$6))*('02_HW'!$C$10)),((1)*(((((((IF(('01_Inputs'!$C$31)&gt;0,('01_Inputs'!$C$31),('01_Inputs'!$C$25)*(1-POWER(1-1/('01_Inputs'!$C$25),((('01_Inputs'!$D$65)*('01_Inputs'!$C$10)))*('01_Inputs'!$C$26))))))*('01_Inputs'!$C$12)*('01_Inputs'!$C$27)*('01_Inputs'!$C$17)*('01_Inputs'!$C$32)))+(IF(('01_Inputs'!$C$36)=1,0,((((('01_Inputs'!$D$65)*('01_Inputs'!$C$10)))*('01_Inputs'!$C$26)*('01_Inputs'!$C$27)*('01_Inputs'!$C$16)))))))+(0)+((((('01_Inputs'!$D$65)*('01_Inputs'!$C$10)))*('01_Inputs'!$C$26)*('01_Inputs'!$C$12)*('01_Inputs'!$C$16))))/(('01_Inputs'!$C$34)*('02_HW'!$C$7))*('02_HW'!$C$10)))+(1)*('02_HW'!$C$9)*('02_HW'!$C$10))</x:f>
        <x:v>0.07171763027027027</x:v>
      </x:c>
      <x:c r="L37" s="66" t="n">
        <x:f>(MAX(((1)*((2*((('01_Inputs'!$E$65)*('01_Inputs'!$C$10)))*('01_Inputs'!$C$26)*('01_Inputs'!$C$12)*('01_Inputs'!$C$27)))/(('01_Inputs'!$C$33)*('02_HW'!$C$6))*('02_HW'!$C$10)),((1)*(((((((IF(('01_Inputs'!$C$31)&gt;0,('01_Inputs'!$C$31),('01_Inputs'!$C$25)*(1-POWER(1-1/('01_Inputs'!$C$25),((('01_Inputs'!$E$65)*('01_Inputs'!$C$10)))*('01_Inputs'!$C$26))))))*('01_Inputs'!$C$12)*('01_Inputs'!$C$27)*('01_Inputs'!$C$17)*('01_Inputs'!$C$32)))+(IF(('01_Inputs'!$C$36)=1,0,((((('01_Inputs'!$E$65)*('01_Inputs'!$C$10)))*('01_Inputs'!$C$26)*('01_Inputs'!$C$27)*('01_Inputs'!$C$16)))))))+(0)+((((('01_Inputs'!$E$65)*('01_Inputs'!$C$10)))*('01_Inputs'!$C$26)*('01_Inputs'!$C$12)*('01_Inputs'!$C$16))))/(('01_Inputs'!$C$34)*('02_HW'!$C$7))*('02_HW'!$C$10)))+(1)*('02_HW'!$C$9)*('02_HW'!$C$10))</x:f>
        <x:v>0.14122062214741476</x:v>
      </x:c>
      <x:c r="M37" s="66" t="n">
        <x:f>(MAX(((1)*((2*((('01_Inputs'!$F$65)*('01_Inputs'!$C$10)))*('01_Inputs'!$C$26)*('01_Inputs'!$C$12)*('01_Inputs'!$C$27)))/(('01_Inputs'!$C$33)*('02_HW'!$C$6))*('02_HW'!$C$10)),((1)*(((((((IF(('01_Inputs'!$C$31)&gt;0,('01_Inputs'!$C$31),('01_Inputs'!$C$25)*(1-POWER(1-1/('01_Inputs'!$C$25),((('01_Inputs'!$F$65)*('01_Inputs'!$C$10)))*('01_Inputs'!$C$26))))))*('01_Inputs'!$C$12)*('01_Inputs'!$C$27)*('01_Inputs'!$C$17)*('01_Inputs'!$C$32)))+(IF(('01_Inputs'!$C$36)=1,0,((((('01_Inputs'!$F$65)*('01_Inputs'!$C$10)))*('01_Inputs'!$C$26)*('01_Inputs'!$C$27)*('01_Inputs'!$C$16)))))))+(0)+((((('01_Inputs'!$F$65)*('01_Inputs'!$C$10)))*('01_Inputs'!$C$26)*('01_Inputs'!$C$12)*('01_Inputs'!$C$16))))/(('01_Inputs'!$C$34)*('02_HW'!$C$7))*('02_HW'!$C$10)))+(1)*('02_HW'!$C$9)*('02_HW'!$C$10))</x:f>
        <x:v>0.2738541806844355</x:v>
      </x:c>
      <x:c r="N37" s="66" t="n">
        <x:f>(MAX(((1)*((2*((('01_Inputs'!$G$65)*('01_Inputs'!$C$10)))*('01_Inputs'!$C$26)*('01_Inputs'!$C$12)*('01_Inputs'!$C$27)))/(('01_Inputs'!$C$33)*('02_HW'!$C$6))*('02_HW'!$C$10)),((1)*(((((((IF(('01_Inputs'!$C$31)&gt;0,('01_Inputs'!$C$31),('01_Inputs'!$C$25)*(1-POWER(1-1/('01_Inputs'!$C$25),((('01_Inputs'!$G$65)*('01_Inputs'!$C$10)))*('01_Inputs'!$C$26))))))*('01_Inputs'!$C$12)*('01_Inputs'!$C$27)*('01_Inputs'!$C$17)*('01_Inputs'!$C$32)))+(IF(('01_Inputs'!$C$36)=1,0,((((('01_Inputs'!$G$65)*('01_Inputs'!$C$10)))*('01_Inputs'!$C$26)*('01_Inputs'!$C$27)*('01_Inputs'!$C$16)))))))+(0)+((((('01_Inputs'!$G$65)*('01_Inputs'!$C$10)))*('01_Inputs'!$C$26)*('01_Inputs'!$C$12)*('01_Inputs'!$C$16))))/(('01_Inputs'!$C$34)*('02_HW'!$C$7))*('02_HW'!$C$10)))+(1)*('02_HW'!$C$9)*('02_HW'!$C$10))</x:f>
        <x:v>0.5154173189795723</x:v>
      </x:c>
    </x:row>
    <x:row r="38">
      <x:c r="A38" s="22" t="str">
        <x:v>moe</x:v>
      </x:c>
      <x:c r="B38" s="22" t="str">
        <x:v>moe_combine</x:v>
      </x:c>
      <x:c r="C38" s="67" t="n">
        <x:f>(MAX(((1)*(0)/(('01_Inputs'!$C$33)*('02_HW'!$C$6))*('02_HW'!$C$10)),((1)*(((((('01_Inputs'!$C$5)*('01_Inputs'!$C$10)))*('01_Inputs'!$C$26)*('01_Inputs'!$C$12)*('01_Inputs'!$C$16)))+((((('01_Inputs'!$C$5)*('01_Inputs'!$C$10)))*('01_Inputs'!$C$12)*('01_Inputs'!$C$16)))+(0))/(('01_Inputs'!$C$34)*('02_HW'!$C$7))*('02_HW'!$C$10)))+(1)*('02_HW'!$C$9)*('02_HW'!$C$10))</x:f>
        <x:v>0.00007084972972972974</x:v>
      </x:c>
      <x:c r="D38" s="67" t="n">
        <x:f>(MAX(((1)*(0)/(('01_Inputs'!$C$33)*('02_HW'!$C$6))*('02_HW'!$C$10)),((1)*(((((('01_Inputs'!$C$5)*('01_Inputs'!$C$10)))*('01_Inputs'!$C$26)*('01_Inputs'!$C$12)*('01_Inputs'!$C$16)))+((((('01_Inputs'!$C$5)*('01_Inputs'!$C$10)))*('01_Inputs'!$C$12)*('01_Inputs'!$C$16)))+(0))/(('01_Inputs'!$C$34)*('02_HW'!$C$7))*('02_HW'!$C$10)))+(1)*('02_HW'!$C$9)*('02_HW'!$C$10))</x:f>
        <x:v>0.00007084972972972974</x:v>
      </x:c>
      <x:c r="E38" s="67" t="n">
        <x:f>(MAX(((1)*(0)/(('01_Inputs'!$C$33)*('02_HW'!$C$6))*('02_HW'!$C$10)),((1)*(((((('01_Inputs'!$C$5)*('01_Inputs'!$C$10)))*('01_Inputs'!$C$26)*('01_Inputs'!$C$12)*('01_Inputs'!$C$16)))+((((('01_Inputs'!$C$5)*('01_Inputs'!$C$10)))*('01_Inputs'!$C$12)*('01_Inputs'!$C$16)))+(0))/(('01_Inputs'!$C$34)*('02_HW'!$C$7))*('02_HW'!$C$10)))+(1)*('02_HW'!$C$9)*('02_HW'!$C$10))</x:f>
        <x:v>0.00007084972972972974</x:v>
      </x:c>
      <x:c r="F38" s="67" t="n">
        <x:f>(MAX(((1)*(0)/(('01_Inputs'!$C$33)*('02_HW'!$C$6))*('02_HW'!$C$10)),((1)*(((((('01_Inputs'!$C$5)*('01_Inputs'!$C$10)))*('01_Inputs'!$C$26)*('01_Inputs'!$C$12)*('01_Inputs'!$C$16)))+((((('01_Inputs'!$C$5)*('01_Inputs'!$C$10)))*('01_Inputs'!$C$12)*('01_Inputs'!$C$16)))+(0))/(('01_Inputs'!$C$34)*('02_HW'!$C$7))*('02_HW'!$C$10)))+(1)*('02_HW'!$C$9)*('02_HW'!$C$10))</x:f>
        <x:v>0.00007084972972972974</x:v>
      </x:c>
      <x:c r="G38" s="67" t="n">
        <x:f>(MAX(((1)*(0)/(('01_Inputs'!$C$33)*('02_HW'!$C$6))*('02_HW'!$C$10)),((1)*(((((('01_Inputs'!$C$5)*('01_Inputs'!$C$10)))*('01_Inputs'!$C$26)*('01_Inputs'!$C$12)*('01_Inputs'!$C$16)))+((((('01_Inputs'!$C$5)*('01_Inputs'!$C$10)))*('01_Inputs'!$C$12)*('01_Inputs'!$C$16)))+(0))/(('01_Inputs'!$C$34)*('02_HW'!$C$7))*('02_HW'!$C$10)))+(1)*('02_HW'!$C$9)*('02_HW'!$C$10))</x:f>
        <x:v>0.00007084972972972974</x:v>
      </x:c>
      <x:c r="H38" s="67" t="n">
        <x:f>(MAX(((1)*(0)/(('01_Inputs'!$C$33)*('02_HW'!$C$6))*('02_HW'!$C$10)),((1)*(((((('01_Inputs'!$C$5)*('01_Inputs'!$C$10)))*('01_Inputs'!$C$26)*('01_Inputs'!$C$12)*('01_Inputs'!$C$16)))+((((('01_Inputs'!$C$5)*('01_Inputs'!$C$10)))*('01_Inputs'!$C$12)*('01_Inputs'!$C$16)))+(0))/(('01_Inputs'!$C$34)*('02_HW'!$C$7))*('02_HW'!$C$10)))+(1)*('02_HW'!$C$9)*('02_HW'!$C$10))</x:f>
        <x:v>0.00007084972972972974</x:v>
      </x:c>
      <x:c r="I38" s="67" t="n">
        <x:f>(MAX(((1)*(0)/(('01_Inputs'!$C$33)*('02_HW'!$C$6))*('02_HW'!$C$10)),((1)*(((((('01_Inputs'!$B$65)*('01_Inputs'!$C$10)))*('01_Inputs'!$C$26)*('01_Inputs'!$C$12)*('01_Inputs'!$C$16)))+((((('01_Inputs'!$B$65)*('01_Inputs'!$C$10)))*('01_Inputs'!$C$12)*('01_Inputs'!$C$16)))+(0))/(('01_Inputs'!$C$34)*('02_HW'!$C$7))*('02_HW'!$C$10)))+(1)*('02_HW'!$C$9)*('02_HW'!$C$10))</x:f>
        <x:v>0.0000022140540540540544</x:v>
      </x:c>
      <x:c r="J38" s="67" t="n">
        <x:f>(MAX(((1)*(0)/(('01_Inputs'!$C$33)*('02_HW'!$C$6))*('02_HW'!$C$10)),((1)*(((((('01_Inputs'!$C$65)*('01_Inputs'!$C$10)))*('01_Inputs'!$C$26)*('01_Inputs'!$C$12)*('01_Inputs'!$C$16)))+((((('01_Inputs'!$C$65)*('01_Inputs'!$C$10)))*('01_Inputs'!$C$12)*('01_Inputs'!$C$16)))+(0))/(('01_Inputs'!$C$34)*('02_HW'!$C$7))*('02_HW'!$C$10)))+(1)*('02_HW'!$C$9)*('02_HW'!$C$10))</x:f>
        <x:v>0.000004428108108108109</x:v>
      </x:c>
      <x:c r="K38" s="67" t="n">
        <x:f>(MAX(((1)*(0)/(('01_Inputs'!$C$33)*('02_HW'!$C$6))*('02_HW'!$C$10)),((1)*(((((('01_Inputs'!$D$65)*('01_Inputs'!$C$10)))*('01_Inputs'!$C$26)*('01_Inputs'!$C$12)*('01_Inputs'!$C$16)))+((((('01_Inputs'!$D$65)*('01_Inputs'!$C$10)))*('01_Inputs'!$C$12)*('01_Inputs'!$C$16)))+(0))/(('01_Inputs'!$C$34)*('02_HW'!$C$7))*('02_HW'!$C$10)))+(1)*('02_HW'!$C$9)*('02_HW'!$C$10))</x:f>
        <x:v>0.000008856216216216217</x:v>
      </x:c>
      <x:c r="L38" s="67" t="n">
        <x:f>(MAX(((1)*(0)/(('01_Inputs'!$C$33)*('02_HW'!$C$6))*('02_HW'!$C$10)),((1)*(((((('01_Inputs'!$E$65)*('01_Inputs'!$C$10)))*('01_Inputs'!$C$26)*('01_Inputs'!$C$12)*('01_Inputs'!$C$16)))+((((('01_Inputs'!$E$65)*('01_Inputs'!$C$10)))*('01_Inputs'!$C$12)*('01_Inputs'!$C$16)))+(0))/(('01_Inputs'!$C$34)*('02_HW'!$C$7))*('02_HW'!$C$10)))+(1)*('02_HW'!$C$9)*('02_HW'!$C$10))</x:f>
        <x:v>0.000017712432432432435</x:v>
      </x:c>
      <x:c r="M38" s="67" t="n">
        <x:f>(MAX(((1)*(0)/(('01_Inputs'!$C$33)*('02_HW'!$C$6))*('02_HW'!$C$10)),((1)*(((((('01_Inputs'!$F$65)*('01_Inputs'!$C$10)))*('01_Inputs'!$C$26)*('01_Inputs'!$C$12)*('01_Inputs'!$C$16)))+((((('01_Inputs'!$F$65)*('01_Inputs'!$C$10)))*('01_Inputs'!$C$12)*('01_Inputs'!$C$16)))+(0))/(('01_Inputs'!$C$34)*('02_HW'!$C$7))*('02_HW'!$C$10)))+(1)*('02_HW'!$C$9)*('02_HW'!$C$10))</x:f>
        <x:v>0.00003542486486486487</x:v>
      </x:c>
      <x:c r="N38" s="67" t="n">
        <x:f>(MAX(((1)*(0)/(('01_Inputs'!$C$33)*('02_HW'!$C$6))*('02_HW'!$C$10)),((1)*(((((('01_Inputs'!$G$65)*('01_Inputs'!$C$10)))*('01_Inputs'!$C$26)*('01_Inputs'!$C$12)*('01_Inputs'!$C$16)))+((((('01_Inputs'!$G$65)*('01_Inputs'!$C$10)))*('01_Inputs'!$C$12)*('01_Inputs'!$C$16)))+(0))/(('01_Inputs'!$C$34)*('02_HW'!$C$7))*('02_HW'!$C$10)))+(1)*('02_HW'!$C$9)*('02_HW'!$C$10))</x:f>
        <x:v>0.00007084972972972974</x:v>
      </x:c>
    </x:row>
    <x:row r="41">
      <x:c r="A41" s="50" t="str">
        <x:v>Dependency group</x:v>
      </x:c>
      <x:c r="B41" s="51" t="str">
        <x:v>HOPE stage</x:v>
      </x:c>
      <x:c r="C41" s="76" t="n">
        <x:f>'01_Inputs'!$B$65</x:f>
        <x:v>1</x:v>
      </x:c>
      <x:c r="D41" s="76" t="n">
        <x:f>'01_Inputs'!$C$65</x:f>
        <x:v>2</x:v>
      </x:c>
      <x:c r="E41" s="76" t="n">
        <x:f>'01_Inputs'!$D$65</x:f>
        <x:v>4</x:v>
      </x:c>
      <x:c r="F41" s="76" t="n">
        <x:f>'01_Inputs'!$E$65</x:f>
        <x:v>8</x:v>
      </x:c>
      <x:c r="G41" s="76" t="n">
        <x:f>'01_Inputs'!$F$65</x:f>
        <x:v>16</x:v>
      </x:c>
      <x:c r="H41" s="77" t="n">
        <x:f>'01_Inputs'!$G$65</x:f>
        <x:v>32</x:v>
      </x:c>
    </x:row>
    <x:row r="42">
      <x:c r="A42" s="20" t="str">
        <x:v>titans_forward</x:v>
      </x:c>
      <x:c r="B42" s="20" t="str">
        <x:v>static_q_projection</x:v>
      </x:c>
      <x:c r="C42" s="65" t="n">
        <x:f>(MAX(((1)*((2*((('01_Inputs'!$B$65)*('01_Inputs'!$C$10)))*('01_Inputs'!$C$12)*('01_Inputs'!$C$12)))/(('01_Inputs'!$C$33)*('02_HW'!$C$6))*('02_HW'!$C$10)),((1)*(((((((('01_Inputs'!$B$65)*('01_Inputs'!$C$10)))*('01_Inputs'!$C$12)*('01_Inputs'!$C$16)))+('01_Inputs'!$C$12)*('01_Inputs'!$C$12)*('01_Inputs'!$C$17)))+(0)+((((('01_Inputs'!$B$65)*('01_Inputs'!$C$10)))*('01_Inputs'!$C$12)*('01_Inputs'!$C$16))))/(('01_Inputs'!$C$34)*('02_HW'!$C$7))*('02_HW'!$C$10)))+(1)*('02_HW'!$C$9)*('02_HW'!$C$10))</x:f>
        <x:v>0.009070979459459458</x:v>
      </x:c>
      <x:c r="D42" s="65" t="n">
        <x:f>(MAX(((1)*((2*((('01_Inputs'!$C$65)*('01_Inputs'!$C$10)))*('01_Inputs'!$C$12)*('01_Inputs'!$C$12)))/(('01_Inputs'!$C$33)*('02_HW'!$C$6))*('02_HW'!$C$10)),((1)*(((((((('01_Inputs'!$C$65)*('01_Inputs'!$C$10)))*('01_Inputs'!$C$12)*('01_Inputs'!$C$16)))+('01_Inputs'!$C$12)*('01_Inputs'!$C$12)*('01_Inputs'!$C$17)))+(0)+((((('01_Inputs'!$C$65)*('01_Inputs'!$C$10)))*('01_Inputs'!$C$12)*('01_Inputs'!$C$16))))/(('01_Inputs'!$C$34)*('02_HW'!$C$7))*('02_HW'!$C$10)))+(1)*('02_HW'!$C$9)*('02_HW'!$C$10))</x:f>
        <x:v>0.009073193513513513</x:v>
      </x:c>
      <x:c r="E42" s="65" t="n">
        <x:f>(MAX(((1)*((2*((('01_Inputs'!$D$65)*('01_Inputs'!$C$10)))*('01_Inputs'!$C$12)*('01_Inputs'!$C$12)))/(('01_Inputs'!$C$33)*('02_HW'!$C$6))*('02_HW'!$C$10)),((1)*(((((((('01_Inputs'!$D$65)*('01_Inputs'!$C$10)))*('01_Inputs'!$C$12)*('01_Inputs'!$C$16)))+('01_Inputs'!$C$12)*('01_Inputs'!$C$12)*('01_Inputs'!$C$17)))+(0)+((((('01_Inputs'!$D$65)*('01_Inputs'!$C$10)))*('01_Inputs'!$C$12)*('01_Inputs'!$C$16))))/(('01_Inputs'!$C$34)*('02_HW'!$C$7))*('02_HW'!$C$10)))+(1)*('02_HW'!$C$9)*('02_HW'!$C$10))</x:f>
        <x:v>0.009077621621621621</x:v>
      </x:c>
      <x:c r="F42" s="65" t="n">
        <x:f>(MAX(((1)*((2*((('01_Inputs'!$E$65)*('01_Inputs'!$C$10)))*('01_Inputs'!$C$12)*('01_Inputs'!$C$12)))/(('01_Inputs'!$C$33)*('02_HW'!$C$6))*('02_HW'!$C$10)),((1)*(((((((('01_Inputs'!$E$65)*('01_Inputs'!$C$10)))*('01_Inputs'!$C$12)*('01_Inputs'!$C$16)))+('01_Inputs'!$C$12)*('01_Inputs'!$C$12)*('01_Inputs'!$C$17)))+(0)+((((('01_Inputs'!$E$65)*('01_Inputs'!$C$10)))*('01_Inputs'!$C$12)*('01_Inputs'!$C$16))))/(('01_Inputs'!$C$34)*('02_HW'!$C$7))*('02_HW'!$C$10)))+(1)*('02_HW'!$C$9)*('02_HW'!$C$10))</x:f>
        <x:v>0.009086477837837838</x:v>
      </x:c>
      <x:c r="G42" s="65" t="n">
        <x:f>(MAX(((1)*((2*((('01_Inputs'!$F$65)*('01_Inputs'!$C$10)))*('01_Inputs'!$C$12)*('01_Inputs'!$C$12)))/(('01_Inputs'!$C$33)*('02_HW'!$C$6))*('02_HW'!$C$10)),((1)*(((((((('01_Inputs'!$F$65)*('01_Inputs'!$C$10)))*('01_Inputs'!$C$12)*('01_Inputs'!$C$16)))+('01_Inputs'!$C$12)*('01_Inputs'!$C$12)*('01_Inputs'!$C$17)))+(0)+((((('01_Inputs'!$F$65)*('01_Inputs'!$C$10)))*('01_Inputs'!$C$12)*('01_Inputs'!$C$16))))/(('01_Inputs'!$C$34)*('02_HW'!$C$7))*('02_HW'!$C$10)))+(1)*('02_HW'!$C$9)*('02_HW'!$C$10))</x:f>
        <x:v>0.009104190270270271</x:v>
      </x:c>
      <x:c r="H42" s="65" t="n">
        <x:f>(MAX(((1)*((2*((('01_Inputs'!$G$65)*('01_Inputs'!$C$10)))*('01_Inputs'!$C$12)*('01_Inputs'!$C$12)))/(('01_Inputs'!$C$33)*('02_HW'!$C$6))*('02_HW'!$C$10)),((1)*(((((((('01_Inputs'!$G$65)*('01_Inputs'!$C$10)))*('01_Inputs'!$C$12)*('01_Inputs'!$C$16)))+('01_Inputs'!$C$12)*('01_Inputs'!$C$12)*('01_Inputs'!$C$17)))+(0)+((((('01_Inputs'!$G$65)*('01_Inputs'!$C$10)))*('01_Inputs'!$C$12)*('01_Inputs'!$C$16))))/(('01_Inputs'!$C$34)*('02_HW'!$C$7))*('02_HW'!$C$10)))+(1)*('02_HW'!$C$9)*('02_HW'!$C$10))</x:f>
        <x:v>0.009139615135135136</x:v>
      </x:c>
    </x:row>
    <x:row r="43">
      <x:c r="A43" s="21" t="str">
        <x:v>titans_forward</x:v>
      </x:c>
      <x:c r="B43" s="21" t="str">
        <x:v>M_mem_forward</x:v>
      </x:c>
      <x:c r="C43" s="66" t="n">
        <x:f>(MAX(((1)*((2*((('01_Inputs'!$B$65)*('01_Inputs'!$C$10)))*((('01_Inputs'!$B$52)*('01_Inputs'!$C$52)+('01_Inputs'!$C$52)*('01_Inputs'!$D$52)))+((('01_Inputs'!$B$65)*('01_Inputs'!$C$10)))*(('01_Inputs'!$C$39)*('01_Inputs'!$C$52)+('01_Inputs'!$C$40)*('01_Inputs'!$D$52))))/(('01_Inputs'!$C$33)*('02_HW'!$C$6))*('02_HW'!$C$10)),((1)*(((((((('01_Inputs'!$B$65)*('01_Inputs'!$C$10)))*('01_Inputs'!$B$52)*('01_Inputs'!$C$16)))+('01_Inputs'!$B$65)*((('01_Inputs'!$B$52)*('01_Inputs'!$C$52)+('01_Inputs'!$C$52)*('01_Inputs'!$D$52)))*('01_Inputs'!$C$37)*('01_Inputs'!$H$52)))+(0)+((((('01_Inputs'!$B$65)*('01_Inputs'!$C$10)))*('01_Inputs'!$D$52)*('01_Inputs'!$C$16))))/(('01_Inputs'!$C$34)*('02_HW'!$C$7))*('02_HW'!$C$10)))+(1)*('02_HW'!$C$9)*('02_HW'!$C$10))</x:f>
        <x:v>0.018139744864864863</x:v>
      </x:c>
      <x:c r="D43" s="66" t="n">
        <x:f>(MAX(((1)*((2*((('01_Inputs'!$C$65)*('01_Inputs'!$C$10)))*((('01_Inputs'!$B$52)*('01_Inputs'!$C$52)+('01_Inputs'!$C$52)*('01_Inputs'!$D$52)))+((('01_Inputs'!$C$65)*('01_Inputs'!$C$10)))*(('01_Inputs'!$C$39)*('01_Inputs'!$C$52)+('01_Inputs'!$C$40)*('01_Inputs'!$D$52))))/(('01_Inputs'!$C$33)*('02_HW'!$C$6))*('02_HW'!$C$10)),((1)*(((((((('01_Inputs'!$C$65)*('01_Inputs'!$C$10)))*('01_Inputs'!$B$52)*('01_Inputs'!$C$16)))+('01_Inputs'!$C$65)*((('01_Inputs'!$B$52)*('01_Inputs'!$C$52)+('01_Inputs'!$C$52)*('01_Inputs'!$D$52)))*('01_Inputs'!$C$37)*('01_Inputs'!$H$52)))+(0)+((((('01_Inputs'!$C$65)*('01_Inputs'!$C$10)))*('01_Inputs'!$D$52)*('01_Inputs'!$C$16))))/(('01_Inputs'!$C$34)*('02_HW'!$C$7))*('02_HW'!$C$10)))+(1)*('02_HW'!$C$9)*('02_HW'!$C$10))</x:f>
        <x:v>0.036279489729729726</x:v>
      </x:c>
      <x:c r="E43" s="66" t="n">
        <x:f>(MAX(((1)*((2*((('01_Inputs'!$D$65)*('01_Inputs'!$C$10)))*((('01_Inputs'!$B$52)*('01_Inputs'!$C$52)+('01_Inputs'!$C$52)*('01_Inputs'!$D$52)))+((('01_Inputs'!$D$65)*('01_Inputs'!$C$10)))*(('01_Inputs'!$C$39)*('01_Inputs'!$C$52)+('01_Inputs'!$C$40)*('01_Inputs'!$D$52))))/(('01_Inputs'!$C$33)*('02_HW'!$C$6))*('02_HW'!$C$10)),((1)*(((((((('01_Inputs'!$D$65)*('01_Inputs'!$C$10)))*('01_Inputs'!$B$52)*('01_Inputs'!$C$16)))+('01_Inputs'!$D$65)*((('01_Inputs'!$B$52)*('01_Inputs'!$C$52)+('01_Inputs'!$C$52)*('01_Inputs'!$D$52)))*('01_Inputs'!$C$37)*('01_Inputs'!$H$52)))+(0)+((((('01_Inputs'!$D$65)*('01_Inputs'!$C$10)))*('01_Inputs'!$D$52)*('01_Inputs'!$C$16))))/(('01_Inputs'!$C$34)*('02_HW'!$C$7))*('02_HW'!$C$10)))+(1)*('02_HW'!$C$9)*('02_HW'!$C$10))</x:f>
        <x:v>0.07255897945945945</x:v>
      </x:c>
      <x:c r="F43" s="66" t="n">
        <x:f>(MAX(((1)*((2*((('01_Inputs'!$E$65)*('01_Inputs'!$C$10)))*((('01_Inputs'!$B$52)*('01_Inputs'!$C$52)+('01_Inputs'!$C$52)*('01_Inputs'!$D$52)))+((('01_Inputs'!$E$65)*('01_Inputs'!$C$10)))*(('01_Inputs'!$C$39)*('01_Inputs'!$C$52)+('01_Inputs'!$C$40)*('01_Inputs'!$D$52))))/(('01_Inputs'!$C$33)*('02_HW'!$C$6))*('02_HW'!$C$10)),((1)*(((((((('01_Inputs'!$E$65)*('01_Inputs'!$C$10)))*('01_Inputs'!$B$52)*('01_Inputs'!$C$16)))+('01_Inputs'!$E$65)*((('01_Inputs'!$B$52)*('01_Inputs'!$C$52)+('01_Inputs'!$C$52)*('01_Inputs'!$D$52)))*('01_Inputs'!$C$37)*('01_Inputs'!$H$52)))+(0)+((((('01_Inputs'!$E$65)*('01_Inputs'!$C$10)))*('01_Inputs'!$D$52)*('01_Inputs'!$C$16))))/(('01_Inputs'!$C$34)*('02_HW'!$C$7))*('02_HW'!$C$10)))+(1)*('02_HW'!$C$9)*('02_HW'!$C$10))</x:f>
        <x:v>0.1451179589189189</x:v>
      </x:c>
      <x:c r="G43" s="66" t="n">
        <x:f>(MAX(((1)*((2*((('01_Inputs'!$F$65)*('01_Inputs'!$C$10)))*((('01_Inputs'!$B$52)*('01_Inputs'!$C$52)+('01_Inputs'!$C$52)*('01_Inputs'!$D$52)))+((('01_Inputs'!$F$65)*('01_Inputs'!$C$10)))*(('01_Inputs'!$C$39)*('01_Inputs'!$C$52)+('01_Inputs'!$C$40)*('01_Inputs'!$D$52))))/(('01_Inputs'!$C$33)*('02_HW'!$C$6))*('02_HW'!$C$10)),((1)*(((((((('01_Inputs'!$F$65)*('01_Inputs'!$C$10)))*('01_Inputs'!$B$52)*('01_Inputs'!$C$16)))+('01_Inputs'!$F$65)*((('01_Inputs'!$B$52)*('01_Inputs'!$C$52)+('01_Inputs'!$C$52)*('01_Inputs'!$D$52)))*('01_Inputs'!$C$37)*('01_Inputs'!$H$52)))+(0)+((((('01_Inputs'!$F$65)*('01_Inputs'!$C$10)))*('01_Inputs'!$D$52)*('01_Inputs'!$C$16))))/(('01_Inputs'!$C$34)*('02_HW'!$C$7))*('02_HW'!$C$10)))+(1)*('02_HW'!$C$9)*('02_HW'!$C$10))</x:f>
        <x:v>0.2902359178378378</x:v>
      </x:c>
      <x:c r="H43" s="66" t="n">
        <x:f>(MAX(((1)*((2*((('01_Inputs'!$G$65)*('01_Inputs'!$C$10)))*((('01_Inputs'!$B$52)*('01_Inputs'!$C$52)+('01_Inputs'!$C$52)*('01_Inputs'!$D$52)))+((('01_Inputs'!$G$65)*('01_Inputs'!$C$10)))*(('01_Inputs'!$C$39)*('01_Inputs'!$C$52)+('01_Inputs'!$C$40)*('01_Inputs'!$D$52))))/(('01_Inputs'!$C$33)*('02_HW'!$C$6))*('02_HW'!$C$10)),((1)*(((((((('01_Inputs'!$G$65)*('01_Inputs'!$C$10)))*('01_Inputs'!$B$52)*('01_Inputs'!$C$16)))+('01_Inputs'!$G$65)*((('01_Inputs'!$B$52)*('01_Inputs'!$C$52)+('01_Inputs'!$C$52)*('01_Inputs'!$D$52)))*('01_Inputs'!$C$37)*('01_Inputs'!$H$52)))+(0)+((((('01_Inputs'!$G$65)*('01_Inputs'!$C$10)))*('01_Inputs'!$D$52)*('01_Inputs'!$C$16))))/(('01_Inputs'!$C$34)*('02_HW'!$C$7))*('02_HW'!$C$10)))+(1)*('02_HW'!$C$9)*('02_HW'!$C$10))</x:f>
        <x:v>0.5804718356756756</x:v>
      </x:c>
    </x:row>
    <x:row r="44">
      <x:c r="A44" s="21" t="str">
        <x:v>cms_forward</x:v>
      </x:c>
      <x:c r="B44" s="21" t="str">
        <x:v>cms_l1_router</x:v>
      </x:c>
      <x:c r="C44" s="66" t="n">
        <x:f>(MAX(((1)*((2*((('01_Inputs'!$B$65)*('01_Inputs'!$C$10)))*('01_Inputs'!$B$57)*('01_Inputs'!$D$57)+('01_Inputs'!$G$57)*((('01_Inputs'!$B$65)*('01_Inputs'!$C$10)))*('01_Inputs'!$D$57)))/(('01_Inputs'!$C$33)*('02_HW'!$C$6))*('02_HW'!$C$10)),((1)*(((((('01_Inputs'!$B$65)*('01_Inputs'!$C$10)))*('01_Inputs'!$B$57)*('01_Inputs'!$C$16)+((IF(('01_Inputs'!$K$57)=1,('01_Inputs'!$B$65),1)))*((('01_Inputs'!$B$57)*('01_Inputs'!$D$57)))*('01_Inputs'!$C$37)))+(0)+((((('01_Inputs'!$B$65)*('01_Inputs'!$C$10)))*('01_Inputs'!$F$57)*('01_Inputs'!$M$57))))/(('01_Inputs'!$C$34)*('02_HW'!$C$7))*('02_HW'!$C$10)))+(1)*('02_HW'!$C$9)*('02_HW'!$C$10))</x:f>
        <x:v>0.00007195783783783785</x:v>
      </x:c>
      <x:c r="D44" s="66" t="n">
        <x:f>(MAX(((1)*((2*((('01_Inputs'!$C$65)*('01_Inputs'!$C$10)))*('01_Inputs'!$B$57)*('01_Inputs'!$D$57)+('01_Inputs'!$G$57)*((('01_Inputs'!$C$65)*('01_Inputs'!$C$10)))*('01_Inputs'!$D$57)))/(('01_Inputs'!$C$33)*('02_HW'!$C$6))*('02_HW'!$C$10)),((1)*(((((('01_Inputs'!$C$65)*('01_Inputs'!$C$10)))*('01_Inputs'!$B$57)*('01_Inputs'!$C$16)+((IF(('01_Inputs'!$K$57)=1,('01_Inputs'!$C$65),1)))*((('01_Inputs'!$B$57)*('01_Inputs'!$D$57)))*('01_Inputs'!$C$37)))+(0)+((((('01_Inputs'!$C$65)*('01_Inputs'!$C$10)))*('01_Inputs'!$F$57)*('01_Inputs'!$M$57))))/(('01_Inputs'!$C$34)*('02_HW'!$C$7))*('02_HW'!$C$10)))+(1)*('02_HW'!$C$9)*('02_HW'!$C$10))</x:f>
        <x:v>0.0001439156756756757</x:v>
      </x:c>
      <x:c r="E44" s="66" t="n">
        <x:f>(MAX(((1)*((2*((('01_Inputs'!$D$65)*('01_Inputs'!$C$10)))*('01_Inputs'!$B$57)*('01_Inputs'!$D$57)+('01_Inputs'!$G$57)*((('01_Inputs'!$D$65)*('01_Inputs'!$C$10)))*('01_Inputs'!$D$57)))/(('01_Inputs'!$C$33)*('02_HW'!$C$6))*('02_HW'!$C$10)),((1)*(((((('01_Inputs'!$D$65)*('01_Inputs'!$C$10)))*('01_Inputs'!$B$57)*('01_Inputs'!$C$16)+((IF(('01_Inputs'!$K$57)=1,('01_Inputs'!$D$65),1)))*((('01_Inputs'!$B$57)*('01_Inputs'!$D$57)))*('01_Inputs'!$C$37)))+(0)+((((('01_Inputs'!$D$65)*('01_Inputs'!$C$10)))*('01_Inputs'!$F$57)*('01_Inputs'!$M$57))))/(('01_Inputs'!$C$34)*('02_HW'!$C$7))*('02_HW'!$C$10)))+(1)*('02_HW'!$C$9)*('02_HW'!$C$10))</x:f>
        <x:v>0.0002878313513513514</x:v>
      </x:c>
      <x:c r="F44" s="66" t="n">
        <x:f>(MAX(((1)*((2*((('01_Inputs'!$E$65)*('01_Inputs'!$C$10)))*('01_Inputs'!$B$57)*('01_Inputs'!$D$57)+('01_Inputs'!$G$57)*((('01_Inputs'!$E$65)*('01_Inputs'!$C$10)))*('01_Inputs'!$D$57)))/(('01_Inputs'!$C$33)*('02_HW'!$C$6))*('02_HW'!$C$10)),((1)*(((((('01_Inputs'!$E$65)*('01_Inputs'!$C$10)))*('01_Inputs'!$B$57)*('01_Inputs'!$C$16)+((IF(('01_Inputs'!$K$57)=1,('01_Inputs'!$E$65),1)))*((('01_Inputs'!$B$57)*('01_Inputs'!$D$57)))*('01_Inputs'!$C$37)))+(0)+((((('01_Inputs'!$E$65)*('01_Inputs'!$C$10)))*('01_Inputs'!$F$57)*('01_Inputs'!$M$57))))/(('01_Inputs'!$C$34)*('02_HW'!$C$7))*('02_HW'!$C$10)))+(1)*('02_HW'!$C$9)*('02_HW'!$C$10))</x:f>
        <x:v>0.0005756627027027028</x:v>
      </x:c>
      <x:c r="G44" s="66" t="n">
        <x:f>(MAX(((1)*((2*((('01_Inputs'!$F$65)*('01_Inputs'!$C$10)))*('01_Inputs'!$B$57)*('01_Inputs'!$D$57)+('01_Inputs'!$G$57)*((('01_Inputs'!$F$65)*('01_Inputs'!$C$10)))*('01_Inputs'!$D$57)))/(('01_Inputs'!$C$33)*('02_HW'!$C$6))*('02_HW'!$C$10)),((1)*(((((('01_Inputs'!$F$65)*('01_Inputs'!$C$10)))*('01_Inputs'!$B$57)*('01_Inputs'!$C$16)+((IF(('01_Inputs'!$K$57)=1,('01_Inputs'!$F$65),1)))*((('01_Inputs'!$B$57)*('01_Inputs'!$D$57)))*('01_Inputs'!$C$37)))+(0)+((((('01_Inputs'!$F$65)*('01_Inputs'!$C$10)))*('01_Inputs'!$F$57)*('01_Inputs'!$M$57))))/(('01_Inputs'!$C$34)*('02_HW'!$C$7))*('02_HW'!$C$10)))+(1)*('02_HW'!$C$9)*('02_HW'!$C$10))</x:f>
        <x:v>0.0011513254054054056</x:v>
      </x:c>
      <x:c r="H44" s="66" t="n">
        <x:f>(MAX(((1)*((2*((('01_Inputs'!$G$65)*('01_Inputs'!$C$10)))*('01_Inputs'!$B$57)*('01_Inputs'!$D$57)+('01_Inputs'!$G$57)*((('01_Inputs'!$G$65)*('01_Inputs'!$C$10)))*('01_Inputs'!$D$57)))/(('01_Inputs'!$C$33)*('02_HW'!$C$6))*('02_HW'!$C$10)),((1)*(((((('01_Inputs'!$G$65)*('01_Inputs'!$C$10)))*('01_Inputs'!$B$57)*('01_Inputs'!$C$16)+((IF(('01_Inputs'!$K$57)=1,('01_Inputs'!$G$65),1)))*((('01_Inputs'!$B$57)*('01_Inputs'!$D$57)))*('01_Inputs'!$C$37)))+(0)+((((('01_Inputs'!$G$65)*('01_Inputs'!$C$10)))*('01_Inputs'!$F$57)*('01_Inputs'!$M$57))))/(('01_Inputs'!$C$34)*('02_HW'!$C$7))*('02_HW'!$C$10)))+(1)*('02_HW'!$C$9)*('02_HW'!$C$10))</x:f>
        <x:v>0.002302650810810811</x:v>
      </x:c>
    </x:row>
    <x:row r="45">
      <x:c r="A45" s="21" t="str">
        <x:v>cms_forward</x:v>
      </x:c>
      <x:c r="B45" s="21" t="str">
        <x:v>cms_l1_expert_a</x:v>
      </x:c>
      <x:c r="C45" s="66" t="n">
        <x:f>(MAX(((1)*((2*((('01_Inputs'!$B$65)*('01_Inputs'!$C$10)))*('01_Inputs'!$F$57)*('01_Inputs'!$B$57)*('01_Inputs'!$E$57)))/(('01_Inputs'!$C$33)*('02_HW'!$C$6))*('02_HW'!$C$10)),((1)*(((((('01_Inputs'!$B$65)*('01_Inputs'!$C$10)))*('01_Inputs'!$B$57)*('01_Inputs'!$C$16)+((((('01_Inputs'!$B$65)*('01_Inputs'!$C$10)))*('01_Inputs'!$F$57)*('01_Inputs'!$M$57)))+((IF(('01_Inputs'!$K$57)=1,('01_Inputs'!$B$65),1)))*((MIN(('01_Inputs'!$D$57),IF(('01_Inputs'!$K$57)=1,('01_Inputs'!$C$10)*('01_Inputs'!$F$57),((('01_Inputs'!$B$65)*('01_Inputs'!$C$10)))*('01_Inputs'!$F$57)))))*((('01_Inputs'!$B$57)*('01_Inputs'!$E$57)))*('01_Inputs'!$C$37)))+(0)+((((('01_Inputs'!$B$65)*('01_Inputs'!$C$10)))*('01_Inputs'!$F$57)*('01_Inputs'!$E$57)*('01_Inputs'!$C$16))))/(('01_Inputs'!$C$34)*('02_HW'!$C$7))*('02_HW'!$C$10)))+(1)*('02_HW'!$C$9)*('02_HW'!$C$10))</x:f>
        <x:v>0.00007196648648648649</x:v>
      </x:c>
      <x:c r="D45" s="66" t="n">
        <x:f>(MAX(((1)*((2*((('01_Inputs'!$C$65)*('01_Inputs'!$C$10)))*('01_Inputs'!$F$57)*('01_Inputs'!$B$57)*('01_Inputs'!$E$57)))/(('01_Inputs'!$C$33)*('02_HW'!$C$6))*('02_HW'!$C$10)),((1)*(((((('01_Inputs'!$C$65)*('01_Inputs'!$C$10)))*('01_Inputs'!$B$57)*('01_Inputs'!$C$16)+((((('01_Inputs'!$C$65)*('01_Inputs'!$C$10)))*('01_Inputs'!$F$57)*('01_Inputs'!$M$57)))+((IF(('01_Inputs'!$K$57)=1,('01_Inputs'!$C$65),1)))*((MIN(('01_Inputs'!$D$57),IF(('01_Inputs'!$K$57)=1,('01_Inputs'!$C$10)*('01_Inputs'!$F$57),((('01_Inputs'!$C$65)*('01_Inputs'!$C$10)))*('01_Inputs'!$F$57)))))*((('01_Inputs'!$B$57)*('01_Inputs'!$E$57)))*('01_Inputs'!$C$37)))+(0)+((((('01_Inputs'!$C$65)*('01_Inputs'!$C$10)))*('01_Inputs'!$F$57)*('01_Inputs'!$E$57)*('01_Inputs'!$C$16))))/(('01_Inputs'!$C$34)*('02_HW'!$C$7))*('02_HW'!$C$10)))+(1)*('02_HW'!$C$9)*('02_HW'!$C$10))</x:f>
        <x:v>0.00014393297297297299</x:v>
      </x:c>
      <x:c r="E45" s="66" t="n">
        <x:f>(MAX(((1)*((2*((('01_Inputs'!$D$65)*('01_Inputs'!$C$10)))*('01_Inputs'!$F$57)*('01_Inputs'!$B$57)*('01_Inputs'!$E$57)))/(('01_Inputs'!$C$33)*('02_HW'!$C$6))*('02_HW'!$C$10)),((1)*(((((('01_Inputs'!$D$65)*('01_Inputs'!$C$10)))*('01_Inputs'!$B$57)*('01_Inputs'!$C$16)+((((('01_Inputs'!$D$65)*('01_Inputs'!$C$10)))*('01_Inputs'!$F$57)*('01_Inputs'!$M$57)))+((IF(('01_Inputs'!$K$57)=1,('01_Inputs'!$D$65),1)))*((MIN(('01_Inputs'!$D$57),IF(('01_Inputs'!$K$57)=1,('01_Inputs'!$C$10)*('01_Inputs'!$F$57),((('01_Inputs'!$D$65)*('01_Inputs'!$C$10)))*('01_Inputs'!$F$57)))))*((('01_Inputs'!$B$57)*('01_Inputs'!$E$57)))*('01_Inputs'!$C$37)))+(0)+((((('01_Inputs'!$D$65)*('01_Inputs'!$C$10)))*('01_Inputs'!$F$57)*('01_Inputs'!$E$57)*('01_Inputs'!$C$16))))/(('01_Inputs'!$C$34)*('02_HW'!$C$7))*('02_HW'!$C$10)))+(1)*('02_HW'!$C$9)*('02_HW'!$C$10))</x:f>
        <x:v>0.00028786594594594597</x:v>
      </x:c>
      <x:c r="F45" s="66" t="n">
        <x:f>(MAX(((1)*((2*((('01_Inputs'!$E$65)*('01_Inputs'!$C$10)))*('01_Inputs'!$F$57)*('01_Inputs'!$B$57)*('01_Inputs'!$E$57)))/(('01_Inputs'!$C$33)*('02_HW'!$C$6))*('02_HW'!$C$10)),((1)*(((((('01_Inputs'!$E$65)*('01_Inputs'!$C$10)))*('01_Inputs'!$B$57)*('01_Inputs'!$C$16)+((((('01_Inputs'!$E$65)*('01_Inputs'!$C$10)))*('01_Inputs'!$F$57)*('01_Inputs'!$M$57)))+((IF(('01_Inputs'!$K$57)=1,('01_Inputs'!$E$65),1)))*((MIN(('01_Inputs'!$D$57),IF(('01_Inputs'!$K$57)=1,('01_Inputs'!$C$10)*('01_Inputs'!$F$57),((('01_Inputs'!$E$65)*('01_Inputs'!$C$10)))*('01_Inputs'!$F$57)))))*((('01_Inputs'!$B$57)*('01_Inputs'!$E$57)))*('01_Inputs'!$C$37)))+(0)+((((('01_Inputs'!$E$65)*('01_Inputs'!$C$10)))*('01_Inputs'!$F$57)*('01_Inputs'!$E$57)*('01_Inputs'!$C$16))))/(('01_Inputs'!$C$34)*('02_HW'!$C$7))*('02_HW'!$C$10)))+(1)*('02_HW'!$C$9)*('02_HW'!$C$10))</x:f>
        <x:v>0.0005757318918918919</x:v>
      </x:c>
      <x:c r="G45" s="66" t="n">
        <x:f>(MAX(((1)*((2*((('01_Inputs'!$F$65)*('01_Inputs'!$C$10)))*('01_Inputs'!$F$57)*('01_Inputs'!$B$57)*('01_Inputs'!$E$57)))/(('01_Inputs'!$C$33)*('02_HW'!$C$6))*('02_HW'!$C$10)),((1)*(((((('01_Inputs'!$F$65)*('01_Inputs'!$C$10)))*('01_Inputs'!$B$57)*('01_Inputs'!$C$16)+((((('01_Inputs'!$F$65)*('01_Inputs'!$C$10)))*('01_Inputs'!$F$57)*('01_Inputs'!$M$57)))+((IF(('01_Inputs'!$K$57)=1,('01_Inputs'!$F$65),1)))*((MIN(('01_Inputs'!$D$57),IF(('01_Inputs'!$K$57)=1,('01_Inputs'!$C$10)*('01_Inputs'!$F$57),((('01_Inputs'!$F$65)*('01_Inputs'!$C$10)))*('01_Inputs'!$F$57)))))*((('01_Inputs'!$B$57)*('01_Inputs'!$E$57)))*('01_Inputs'!$C$37)))+(0)+((((('01_Inputs'!$F$65)*('01_Inputs'!$C$10)))*('01_Inputs'!$F$57)*('01_Inputs'!$E$57)*('01_Inputs'!$C$16))))/(('01_Inputs'!$C$34)*('02_HW'!$C$7))*('02_HW'!$C$10)))+(1)*('02_HW'!$C$9)*('02_HW'!$C$10))</x:f>
        <x:v>0.0011514637837837839</x:v>
      </x:c>
      <x:c r="H45" s="66" t="n">
        <x:f>(MAX(((1)*((2*((('01_Inputs'!$G$65)*('01_Inputs'!$C$10)))*('01_Inputs'!$F$57)*('01_Inputs'!$B$57)*('01_Inputs'!$E$57)))/(('01_Inputs'!$C$33)*('02_HW'!$C$6))*('02_HW'!$C$10)),((1)*(((((('01_Inputs'!$G$65)*('01_Inputs'!$C$10)))*('01_Inputs'!$B$57)*('01_Inputs'!$C$16)+((((('01_Inputs'!$G$65)*('01_Inputs'!$C$10)))*('01_Inputs'!$F$57)*('01_Inputs'!$M$57)))+((IF(('01_Inputs'!$K$57)=1,('01_Inputs'!$G$65),1)))*((MIN(('01_Inputs'!$D$57),IF(('01_Inputs'!$K$57)=1,('01_Inputs'!$C$10)*('01_Inputs'!$F$57),((('01_Inputs'!$G$65)*('01_Inputs'!$C$10)))*('01_Inputs'!$F$57)))))*((('01_Inputs'!$B$57)*('01_Inputs'!$E$57)))*('01_Inputs'!$C$37)))+(0)+((((('01_Inputs'!$G$65)*('01_Inputs'!$C$10)))*('01_Inputs'!$F$57)*('01_Inputs'!$E$57)*('01_Inputs'!$C$16))))/(('01_Inputs'!$C$34)*('02_HW'!$C$7))*('02_HW'!$C$10)))+(1)*('02_HW'!$C$9)*('02_HW'!$C$10))</x:f>
        <x:v>0.0023029275675675678</x:v>
      </x:c>
    </x:row>
    <x:row r="46">
      <x:c r="A46" s="21" t="str">
        <x:v>cms_forward</x:v>
      </x:c>
      <x:c r="B46" s="21" t="str">
        <x:v>cms_l1_expert_b</x:v>
      </x:c>
      <x:c r="C46" s="66" t="n">
        <x:f>(MAX(((1)*((2*((('01_Inputs'!$B$65)*('01_Inputs'!$C$10)))*('01_Inputs'!$F$57)*('01_Inputs'!$E$57)*('01_Inputs'!$C$57)))/(('01_Inputs'!$C$33)*('02_HW'!$C$6))*('02_HW'!$C$10)),((1)*(((((((('01_Inputs'!$B$65)*('01_Inputs'!$C$10)))*('01_Inputs'!$F$57)*('01_Inputs'!$E$57)*('01_Inputs'!$C$16)))+((IF(('01_Inputs'!$K$57)=1,('01_Inputs'!$B$65),1)))*((MIN(('01_Inputs'!$D$57),IF(('01_Inputs'!$K$57)=1,('01_Inputs'!$C$10)*('01_Inputs'!$F$57),((('01_Inputs'!$B$65)*('01_Inputs'!$C$10)))*('01_Inputs'!$F$57)))))*((('01_Inputs'!$E$57)*('01_Inputs'!$C$57)))*('01_Inputs'!$C$37)))+(0)+((((('01_Inputs'!$B$65)*('01_Inputs'!$C$10)))*('01_Inputs'!$C$57)*('01_Inputs'!$C$16))))/(('01_Inputs'!$C$34)*('02_HW'!$C$7))*('02_HW'!$C$10)))+(1)*('02_HW'!$C$9)*('02_HW'!$C$10))</x:f>
        <x:v>0.0000719654054054054</x:v>
      </x:c>
      <x:c r="D46" s="66" t="n">
        <x:f>(MAX(((1)*((2*((('01_Inputs'!$C$65)*('01_Inputs'!$C$10)))*('01_Inputs'!$F$57)*('01_Inputs'!$E$57)*('01_Inputs'!$C$57)))/(('01_Inputs'!$C$33)*('02_HW'!$C$6))*('02_HW'!$C$10)),((1)*(((((((('01_Inputs'!$C$65)*('01_Inputs'!$C$10)))*('01_Inputs'!$F$57)*('01_Inputs'!$E$57)*('01_Inputs'!$C$16)))+((IF(('01_Inputs'!$K$57)=1,('01_Inputs'!$C$65),1)))*((MIN(('01_Inputs'!$D$57),IF(('01_Inputs'!$K$57)=1,('01_Inputs'!$C$10)*('01_Inputs'!$F$57),((('01_Inputs'!$C$65)*('01_Inputs'!$C$10)))*('01_Inputs'!$F$57)))))*((('01_Inputs'!$E$57)*('01_Inputs'!$C$57)))*('01_Inputs'!$C$37)))+(0)+((((('01_Inputs'!$C$65)*('01_Inputs'!$C$10)))*('01_Inputs'!$C$57)*('01_Inputs'!$C$16))))/(('01_Inputs'!$C$34)*('02_HW'!$C$7))*('02_HW'!$C$10)))+(1)*('02_HW'!$C$9)*('02_HW'!$C$10))</x:f>
        <x:v>0.0001439308108108108</x:v>
      </x:c>
      <x:c r="E46" s="66" t="n">
        <x:f>(MAX(((1)*((2*((('01_Inputs'!$D$65)*('01_Inputs'!$C$10)))*('01_Inputs'!$F$57)*('01_Inputs'!$E$57)*('01_Inputs'!$C$57)))/(('01_Inputs'!$C$33)*('02_HW'!$C$6))*('02_HW'!$C$10)),((1)*(((((((('01_Inputs'!$D$65)*('01_Inputs'!$C$10)))*('01_Inputs'!$F$57)*('01_Inputs'!$E$57)*('01_Inputs'!$C$16)))+((IF(('01_Inputs'!$K$57)=1,('01_Inputs'!$D$65),1)))*((MIN(('01_Inputs'!$D$57),IF(('01_Inputs'!$K$57)=1,('01_Inputs'!$C$10)*('01_Inputs'!$F$57),((('01_Inputs'!$D$65)*('01_Inputs'!$C$10)))*('01_Inputs'!$F$57)))))*((('01_Inputs'!$E$57)*('01_Inputs'!$C$57)))*('01_Inputs'!$C$37)))+(0)+((((('01_Inputs'!$D$65)*('01_Inputs'!$C$10)))*('01_Inputs'!$C$57)*('01_Inputs'!$C$16))))/(('01_Inputs'!$C$34)*('02_HW'!$C$7))*('02_HW'!$C$10)))+(1)*('02_HW'!$C$9)*('02_HW'!$C$10))</x:f>
        <x:v>0.0002878616216216216</x:v>
      </x:c>
      <x:c r="F46" s="66" t="n">
        <x:f>(MAX(((1)*((2*((('01_Inputs'!$E$65)*('01_Inputs'!$C$10)))*('01_Inputs'!$F$57)*('01_Inputs'!$E$57)*('01_Inputs'!$C$57)))/(('01_Inputs'!$C$33)*('02_HW'!$C$6))*('02_HW'!$C$10)),((1)*(((((((('01_Inputs'!$E$65)*('01_Inputs'!$C$10)))*('01_Inputs'!$F$57)*('01_Inputs'!$E$57)*('01_Inputs'!$C$16)))+((IF(('01_Inputs'!$K$57)=1,('01_Inputs'!$E$65),1)))*((MIN(('01_Inputs'!$D$57),IF(('01_Inputs'!$K$57)=1,('01_Inputs'!$C$10)*('01_Inputs'!$F$57),((('01_Inputs'!$E$65)*('01_Inputs'!$C$10)))*('01_Inputs'!$F$57)))))*((('01_Inputs'!$E$57)*('01_Inputs'!$C$57)))*('01_Inputs'!$C$37)))+(0)+((((('01_Inputs'!$E$65)*('01_Inputs'!$C$10)))*('01_Inputs'!$C$57)*('01_Inputs'!$C$16))))/(('01_Inputs'!$C$34)*('02_HW'!$C$7))*('02_HW'!$C$10)))+(1)*('02_HW'!$C$9)*('02_HW'!$C$10))</x:f>
        <x:v>0.0005757232432432432</x:v>
      </x:c>
      <x:c r="G46" s="66" t="n">
        <x:f>(MAX(((1)*((2*((('01_Inputs'!$F$65)*('01_Inputs'!$C$10)))*('01_Inputs'!$F$57)*('01_Inputs'!$E$57)*('01_Inputs'!$C$57)))/(('01_Inputs'!$C$33)*('02_HW'!$C$6))*('02_HW'!$C$10)),((1)*(((((((('01_Inputs'!$F$65)*('01_Inputs'!$C$10)))*('01_Inputs'!$F$57)*('01_Inputs'!$E$57)*('01_Inputs'!$C$16)))+((IF(('01_Inputs'!$K$57)=1,('01_Inputs'!$F$65),1)))*((MIN(('01_Inputs'!$D$57),IF(('01_Inputs'!$K$57)=1,('01_Inputs'!$C$10)*('01_Inputs'!$F$57),((('01_Inputs'!$F$65)*('01_Inputs'!$C$10)))*('01_Inputs'!$F$57)))))*((('01_Inputs'!$E$57)*('01_Inputs'!$C$57)))*('01_Inputs'!$C$37)))+(0)+((((('01_Inputs'!$F$65)*('01_Inputs'!$C$10)))*('01_Inputs'!$C$57)*('01_Inputs'!$C$16))))/(('01_Inputs'!$C$34)*('02_HW'!$C$7))*('02_HW'!$C$10)))+(1)*('02_HW'!$C$9)*('02_HW'!$C$10))</x:f>
        <x:v>0.0011514464864864865</x:v>
      </x:c>
      <x:c r="H46" s="66" t="n">
        <x:f>(MAX(((1)*((2*((('01_Inputs'!$G$65)*('01_Inputs'!$C$10)))*('01_Inputs'!$F$57)*('01_Inputs'!$E$57)*('01_Inputs'!$C$57)))/(('01_Inputs'!$C$33)*('02_HW'!$C$6))*('02_HW'!$C$10)),((1)*(((((((('01_Inputs'!$G$65)*('01_Inputs'!$C$10)))*('01_Inputs'!$F$57)*('01_Inputs'!$E$57)*('01_Inputs'!$C$16)))+((IF(('01_Inputs'!$K$57)=1,('01_Inputs'!$G$65),1)))*((MIN(('01_Inputs'!$D$57),IF(('01_Inputs'!$K$57)=1,('01_Inputs'!$C$10)*('01_Inputs'!$F$57),((('01_Inputs'!$G$65)*('01_Inputs'!$C$10)))*('01_Inputs'!$F$57)))))*((('01_Inputs'!$E$57)*('01_Inputs'!$C$57)))*('01_Inputs'!$C$37)))+(0)+((((('01_Inputs'!$G$65)*('01_Inputs'!$C$10)))*('01_Inputs'!$C$57)*('01_Inputs'!$C$16))))/(('01_Inputs'!$C$34)*('02_HW'!$C$7))*('02_HW'!$C$10)))+(1)*('02_HW'!$C$9)*('02_HW'!$C$10))</x:f>
        <x:v>0.002302892972972973</x:v>
      </x:c>
    </x:row>
    <x:row r="47">
      <x:c r="A47" s="21" t="str">
        <x:v>cms_forward</x:v>
      </x:c>
      <x:c r="B47" s="21" t="str">
        <x:v>cms_l2_router</x:v>
      </x:c>
      <x:c r="C47" s="66" t="n">
        <x:f>(MAX(((1)*((2*((('01_Inputs'!$B$65)*('01_Inputs'!$C$10)))*('01_Inputs'!$B$58)*('01_Inputs'!$D$58)+('01_Inputs'!$G$58)*((('01_Inputs'!$B$65)*('01_Inputs'!$C$10)))*('01_Inputs'!$D$58)))/(('01_Inputs'!$C$33)*('02_HW'!$C$6))*('02_HW'!$C$10)),((1)*(((((('01_Inputs'!$B$65)*('01_Inputs'!$C$10)))*('01_Inputs'!$B$58)*('01_Inputs'!$C$16)+((IF(('01_Inputs'!$K$58)=1,('01_Inputs'!$B$65),1)))*((('01_Inputs'!$B$58)*('01_Inputs'!$D$58)))*('01_Inputs'!$C$37)))+(0)+((((('01_Inputs'!$B$65)*('01_Inputs'!$C$10)))*('01_Inputs'!$F$58)*('01_Inputs'!$M$58))))/(('01_Inputs'!$C$34)*('02_HW'!$C$7))*('02_HW'!$C$10)))+(1)*('02_HW'!$C$9)*('02_HW'!$C$10))</x:f>
        <x:v>0.00014280756756756757</x:v>
      </x:c>
      <x:c r="D47" s="66" t="n">
        <x:f>(MAX(((1)*((2*((('01_Inputs'!$C$65)*('01_Inputs'!$C$10)))*('01_Inputs'!$B$58)*('01_Inputs'!$D$58)+('01_Inputs'!$G$58)*((('01_Inputs'!$C$65)*('01_Inputs'!$C$10)))*('01_Inputs'!$D$58)))/(('01_Inputs'!$C$33)*('02_HW'!$C$6))*('02_HW'!$C$10)),((1)*(((((('01_Inputs'!$C$65)*('01_Inputs'!$C$10)))*('01_Inputs'!$B$58)*('01_Inputs'!$C$16)+((IF(('01_Inputs'!$K$58)=1,('01_Inputs'!$C$65),1)))*((('01_Inputs'!$B$58)*('01_Inputs'!$D$58)))*('01_Inputs'!$C$37)))+(0)+((((('01_Inputs'!$C$65)*('01_Inputs'!$C$10)))*('01_Inputs'!$F$58)*('01_Inputs'!$M$58))))/(('01_Inputs'!$C$34)*('02_HW'!$C$7))*('02_HW'!$C$10)))+(1)*('02_HW'!$C$9)*('02_HW'!$C$10))</x:f>
        <x:v>0.00028561513513513515</x:v>
      </x:c>
      <x:c r="E47" s="66" t="n">
        <x:f>(MAX(((1)*((2*((('01_Inputs'!$D$65)*('01_Inputs'!$C$10)))*('01_Inputs'!$B$58)*('01_Inputs'!$D$58)+('01_Inputs'!$G$58)*((('01_Inputs'!$D$65)*('01_Inputs'!$C$10)))*('01_Inputs'!$D$58)))/(('01_Inputs'!$C$33)*('02_HW'!$C$6))*('02_HW'!$C$10)),((1)*(((((('01_Inputs'!$D$65)*('01_Inputs'!$C$10)))*('01_Inputs'!$B$58)*('01_Inputs'!$C$16)+((IF(('01_Inputs'!$K$58)=1,('01_Inputs'!$D$65),1)))*((('01_Inputs'!$B$58)*('01_Inputs'!$D$58)))*('01_Inputs'!$C$37)))+(0)+((((('01_Inputs'!$D$65)*('01_Inputs'!$C$10)))*('01_Inputs'!$F$58)*('01_Inputs'!$M$58))))/(('01_Inputs'!$C$34)*('02_HW'!$C$7))*('02_HW'!$C$10)))+(1)*('02_HW'!$C$9)*('02_HW'!$C$10))</x:f>
        <x:v>0.0005712302702702703</x:v>
      </x:c>
      <x:c r="F47" s="66" t="n">
        <x:f>(MAX(((1)*((2*((('01_Inputs'!$E$65)*('01_Inputs'!$C$10)))*('01_Inputs'!$B$58)*('01_Inputs'!$D$58)+('01_Inputs'!$G$58)*((('01_Inputs'!$E$65)*('01_Inputs'!$C$10)))*('01_Inputs'!$D$58)))/(('01_Inputs'!$C$33)*('02_HW'!$C$6))*('02_HW'!$C$10)),((1)*(((((('01_Inputs'!$E$65)*('01_Inputs'!$C$10)))*('01_Inputs'!$B$58)*('01_Inputs'!$C$16)+((IF(('01_Inputs'!$K$58)=1,('01_Inputs'!$E$65),1)))*((('01_Inputs'!$B$58)*('01_Inputs'!$D$58)))*('01_Inputs'!$C$37)))+(0)+((((('01_Inputs'!$E$65)*('01_Inputs'!$C$10)))*('01_Inputs'!$F$58)*('01_Inputs'!$M$58))))/(('01_Inputs'!$C$34)*('02_HW'!$C$7))*('02_HW'!$C$10)))+(1)*('02_HW'!$C$9)*('02_HW'!$C$10))</x:f>
        <x:v>0.0011424605405405406</x:v>
      </x:c>
      <x:c r="G47" s="66" t="n">
        <x:f>(MAX(((1)*((2*((('01_Inputs'!$F$65)*('01_Inputs'!$C$10)))*('01_Inputs'!$B$58)*('01_Inputs'!$D$58)+('01_Inputs'!$G$58)*((('01_Inputs'!$F$65)*('01_Inputs'!$C$10)))*('01_Inputs'!$D$58)))/(('01_Inputs'!$C$33)*('02_HW'!$C$6))*('02_HW'!$C$10)),((1)*(((((('01_Inputs'!$F$65)*('01_Inputs'!$C$10)))*('01_Inputs'!$B$58)*('01_Inputs'!$C$16)+((IF(('01_Inputs'!$K$58)=1,('01_Inputs'!$F$65),1)))*((('01_Inputs'!$B$58)*('01_Inputs'!$D$58)))*('01_Inputs'!$C$37)))+(0)+((((('01_Inputs'!$F$65)*('01_Inputs'!$C$10)))*('01_Inputs'!$F$58)*('01_Inputs'!$M$58))))/(('01_Inputs'!$C$34)*('02_HW'!$C$7))*('02_HW'!$C$10)))+(1)*('02_HW'!$C$9)*('02_HW'!$C$10))</x:f>
        <x:v>0.002284921081081081</x:v>
      </x:c>
      <x:c r="H47" s="66" t="n">
        <x:f>(MAX(((1)*((2*((('01_Inputs'!$G$65)*('01_Inputs'!$C$10)))*('01_Inputs'!$B$58)*('01_Inputs'!$D$58)+('01_Inputs'!$G$58)*((('01_Inputs'!$G$65)*('01_Inputs'!$C$10)))*('01_Inputs'!$D$58)))/(('01_Inputs'!$C$33)*('02_HW'!$C$6))*('02_HW'!$C$10)),((1)*(((((('01_Inputs'!$G$65)*('01_Inputs'!$C$10)))*('01_Inputs'!$B$58)*('01_Inputs'!$C$16)+((IF(('01_Inputs'!$K$58)=1,('01_Inputs'!$G$65),1)))*((('01_Inputs'!$B$58)*('01_Inputs'!$D$58)))*('01_Inputs'!$C$37)))+(0)+((((('01_Inputs'!$G$65)*('01_Inputs'!$C$10)))*('01_Inputs'!$F$58)*('01_Inputs'!$M$58))))/(('01_Inputs'!$C$34)*('02_HW'!$C$7))*('02_HW'!$C$10)))+(1)*('02_HW'!$C$9)*('02_HW'!$C$10))</x:f>
        <x:v>0.004569842162162162</x:v>
      </x:c>
    </x:row>
    <x:row r="48">
      <x:c r="A48" s="21" t="str">
        <x:v>cms_forward</x:v>
      </x:c>
      <x:c r="B48" s="21" t="str">
        <x:v>cms_l2_expert_a</x:v>
      </x:c>
      <x:c r="C48" s="66" t="n">
        <x:f>(MAX(((1)*((2*((('01_Inputs'!$B$65)*('01_Inputs'!$C$10)))*('01_Inputs'!$F$58)*('01_Inputs'!$B$58)*('01_Inputs'!$E$58)))/(('01_Inputs'!$C$33)*('02_HW'!$C$6))*('02_HW'!$C$10)),((1)*(((((('01_Inputs'!$B$65)*('01_Inputs'!$C$10)))*('01_Inputs'!$B$58)*('01_Inputs'!$C$16)+((((('01_Inputs'!$B$65)*('01_Inputs'!$C$10)))*('01_Inputs'!$F$58)*('01_Inputs'!$M$58)))+((IF(('01_Inputs'!$K$58)=1,('01_Inputs'!$B$65),1)))*((MIN(('01_Inputs'!$D$58),IF(('01_Inputs'!$K$58)=1,('01_Inputs'!$C$10)*('01_Inputs'!$F$58),((('01_Inputs'!$B$65)*('01_Inputs'!$C$10)))*('01_Inputs'!$F$58)))))*((('01_Inputs'!$B$58)*('01_Inputs'!$E$58)))*('01_Inputs'!$C$37)))+(0)+((((('01_Inputs'!$B$65)*('01_Inputs'!$C$10)))*('01_Inputs'!$F$58)*('01_Inputs'!$E$58)*('01_Inputs'!$C$16))))/(('01_Inputs'!$C$34)*('02_HW'!$C$7))*('02_HW'!$C$10)))+(1)*('02_HW'!$C$9)*('02_HW'!$C$10))</x:f>
        <x:v>0.00007196648648648649</x:v>
      </x:c>
      <x:c r="D48" s="66" t="n">
        <x:f>(MAX(((1)*((2*((('01_Inputs'!$C$65)*('01_Inputs'!$C$10)))*('01_Inputs'!$F$58)*('01_Inputs'!$B$58)*('01_Inputs'!$E$58)))/(('01_Inputs'!$C$33)*('02_HW'!$C$6))*('02_HW'!$C$10)),((1)*(((((('01_Inputs'!$C$65)*('01_Inputs'!$C$10)))*('01_Inputs'!$B$58)*('01_Inputs'!$C$16)+((((('01_Inputs'!$C$65)*('01_Inputs'!$C$10)))*('01_Inputs'!$F$58)*('01_Inputs'!$M$58)))+((IF(('01_Inputs'!$K$58)=1,('01_Inputs'!$C$65),1)))*((MIN(('01_Inputs'!$D$58),IF(('01_Inputs'!$K$58)=1,('01_Inputs'!$C$10)*('01_Inputs'!$F$58),((('01_Inputs'!$C$65)*('01_Inputs'!$C$10)))*('01_Inputs'!$F$58)))))*((('01_Inputs'!$B$58)*('01_Inputs'!$E$58)))*('01_Inputs'!$C$37)))+(0)+((((('01_Inputs'!$C$65)*('01_Inputs'!$C$10)))*('01_Inputs'!$F$58)*('01_Inputs'!$E$58)*('01_Inputs'!$C$16))))/(('01_Inputs'!$C$34)*('02_HW'!$C$7))*('02_HW'!$C$10)))+(1)*('02_HW'!$C$9)*('02_HW'!$C$10))</x:f>
        <x:v>0.00014393297297297299</x:v>
      </x:c>
      <x:c r="E48" s="66" t="n">
        <x:f>(MAX(((1)*((2*((('01_Inputs'!$D$65)*('01_Inputs'!$C$10)))*('01_Inputs'!$F$58)*('01_Inputs'!$B$58)*('01_Inputs'!$E$58)))/(('01_Inputs'!$C$33)*('02_HW'!$C$6))*('02_HW'!$C$10)),((1)*(((((('01_Inputs'!$D$65)*('01_Inputs'!$C$10)))*('01_Inputs'!$B$58)*('01_Inputs'!$C$16)+((((('01_Inputs'!$D$65)*('01_Inputs'!$C$10)))*('01_Inputs'!$F$58)*('01_Inputs'!$M$58)))+((IF(('01_Inputs'!$K$58)=1,('01_Inputs'!$D$65),1)))*((MIN(('01_Inputs'!$D$58),IF(('01_Inputs'!$K$58)=1,('01_Inputs'!$C$10)*('01_Inputs'!$F$58),((('01_Inputs'!$D$65)*('01_Inputs'!$C$10)))*('01_Inputs'!$F$58)))))*((('01_Inputs'!$B$58)*('01_Inputs'!$E$58)))*('01_Inputs'!$C$37)))+(0)+((((('01_Inputs'!$D$65)*('01_Inputs'!$C$10)))*('01_Inputs'!$F$58)*('01_Inputs'!$E$58)*('01_Inputs'!$C$16))))/(('01_Inputs'!$C$34)*('02_HW'!$C$7))*('02_HW'!$C$10)))+(1)*('02_HW'!$C$9)*('02_HW'!$C$10))</x:f>
        <x:v>0.00028786594594594597</x:v>
      </x:c>
      <x:c r="F48" s="66" t="n">
        <x:f>(MAX(((1)*((2*((('01_Inputs'!$E$65)*('01_Inputs'!$C$10)))*('01_Inputs'!$F$58)*('01_Inputs'!$B$58)*('01_Inputs'!$E$58)))/(('01_Inputs'!$C$33)*('02_HW'!$C$6))*('02_HW'!$C$10)),((1)*(((((('01_Inputs'!$E$65)*('01_Inputs'!$C$10)))*('01_Inputs'!$B$58)*('01_Inputs'!$C$16)+((((('01_Inputs'!$E$65)*('01_Inputs'!$C$10)))*('01_Inputs'!$F$58)*('01_Inputs'!$M$58)))+((IF(('01_Inputs'!$K$58)=1,('01_Inputs'!$E$65),1)))*((MIN(('01_Inputs'!$D$58),IF(('01_Inputs'!$K$58)=1,('01_Inputs'!$C$10)*('01_Inputs'!$F$58),((('01_Inputs'!$E$65)*('01_Inputs'!$C$10)))*('01_Inputs'!$F$58)))))*((('01_Inputs'!$B$58)*('01_Inputs'!$E$58)))*('01_Inputs'!$C$37)))+(0)+((((('01_Inputs'!$E$65)*('01_Inputs'!$C$10)))*('01_Inputs'!$F$58)*('01_Inputs'!$E$58)*('01_Inputs'!$C$16))))/(('01_Inputs'!$C$34)*('02_HW'!$C$7))*('02_HW'!$C$10)))+(1)*('02_HW'!$C$9)*('02_HW'!$C$10))</x:f>
        <x:v>0.0005757318918918919</x:v>
      </x:c>
      <x:c r="G48" s="66" t="n">
        <x:f>(MAX(((1)*((2*((('01_Inputs'!$F$65)*('01_Inputs'!$C$10)))*('01_Inputs'!$F$58)*('01_Inputs'!$B$58)*('01_Inputs'!$E$58)))/(('01_Inputs'!$C$33)*('02_HW'!$C$6))*('02_HW'!$C$10)),((1)*(((((('01_Inputs'!$F$65)*('01_Inputs'!$C$10)))*('01_Inputs'!$B$58)*('01_Inputs'!$C$16)+((((('01_Inputs'!$F$65)*('01_Inputs'!$C$10)))*('01_Inputs'!$F$58)*('01_Inputs'!$M$58)))+((IF(('01_Inputs'!$K$58)=1,('01_Inputs'!$F$65),1)))*((MIN(('01_Inputs'!$D$58),IF(('01_Inputs'!$K$58)=1,('01_Inputs'!$C$10)*('01_Inputs'!$F$58),((('01_Inputs'!$F$65)*('01_Inputs'!$C$10)))*('01_Inputs'!$F$58)))))*((('01_Inputs'!$B$58)*('01_Inputs'!$E$58)))*('01_Inputs'!$C$37)))+(0)+((((('01_Inputs'!$F$65)*('01_Inputs'!$C$10)))*('01_Inputs'!$F$58)*('01_Inputs'!$E$58)*('01_Inputs'!$C$16))))/(('01_Inputs'!$C$34)*('02_HW'!$C$7))*('02_HW'!$C$10)))+(1)*('02_HW'!$C$9)*('02_HW'!$C$10))</x:f>
        <x:v>0.0011514637837837839</x:v>
      </x:c>
      <x:c r="H48" s="66" t="n">
        <x:f>(MAX(((1)*((2*((('01_Inputs'!$G$65)*('01_Inputs'!$C$10)))*('01_Inputs'!$F$58)*('01_Inputs'!$B$58)*('01_Inputs'!$E$58)))/(('01_Inputs'!$C$33)*('02_HW'!$C$6))*('02_HW'!$C$10)),((1)*(((((('01_Inputs'!$G$65)*('01_Inputs'!$C$10)))*('01_Inputs'!$B$58)*('01_Inputs'!$C$16)+((((('01_Inputs'!$G$65)*('01_Inputs'!$C$10)))*('01_Inputs'!$F$58)*('01_Inputs'!$M$58)))+((IF(('01_Inputs'!$K$58)=1,('01_Inputs'!$G$65),1)))*((MIN(('01_Inputs'!$D$58),IF(('01_Inputs'!$K$58)=1,('01_Inputs'!$C$10)*('01_Inputs'!$F$58),((('01_Inputs'!$G$65)*('01_Inputs'!$C$10)))*('01_Inputs'!$F$58)))))*((('01_Inputs'!$B$58)*('01_Inputs'!$E$58)))*('01_Inputs'!$C$37)))+(0)+((((('01_Inputs'!$G$65)*('01_Inputs'!$C$10)))*('01_Inputs'!$F$58)*('01_Inputs'!$E$58)*('01_Inputs'!$C$16))))/(('01_Inputs'!$C$34)*('02_HW'!$C$7))*('02_HW'!$C$10)))+(1)*('02_HW'!$C$9)*('02_HW'!$C$10))</x:f>
        <x:v>0.0023029275675675678</x:v>
      </x:c>
    </x:row>
    <x:row r="49">
      <x:c r="A49" s="21" t="str">
        <x:v>cms_forward</x:v>
      </x:c>
      <x:c r="B49" s="21" t="str">
        <x:v>cms_l2_expert_b</x:v>
      </x:c>
      <x:c r="C49" s="66" t="n">
        <x:f>(MAX(((1)*((2*((('01_Inputs'!$B$65)*('01_Inputs'!$C$10)))*('01_Inputs'!$F$58)*('01_Inputs'!$E$58)*('01_Inputs'!$C$58)))/(('01_Inputs'!$C$33)*('02_HW'!$C$6))*('02_HW'!$C$10)),((1)*(((((((('01_Inputs'!$B$65)*('01_Inputs'!$C$10)))*('01_Inputs'!$F$58)*('01_Inputs'!$E$58)*('01_Inputs'!$C$16)))+((IF(('01_Inputs'!$K$58)=1,('01_Inputs'!$B$65),1)))*((MIN(('01_Inputs'!$D$58),IF(('01_Inputs'!$K$58)=1,('01_Inputs'!$C$10)*('01_Inputs'!$F$58),((('01_Inputs'!$B$65)*('01_Inputs'!$C$10)))*('01_Inputs'!$F$58)))))*((('01_Inputs'!$E$58)*('01_Inputs'!$C$58)))*('01_Inputs'!$C$37)))+(0)+((((('01_Inputs'!$B$65)*('01_Inputs'!$C$10)))*('01_Inputs'!$C$58)*('01_Inputs'!$C$16))))/(('01_Inputs'!$C$34)*('02_HW'!$C$7))*('02_HW'!$C$10)))+(1)*('02_HW'!$C$9)*('02_HW'!$C$10))</x:f>
        <x:v>0.0000719654054054054</x:v>
      </x:c>
      <x:c r="D49" s="66" t="n">
        <x:f>(MAX(((1)*((2*((('01_Inputs'!$C$65)*('01_Inputs'!$C$10)))*('01_Inputs'!$F$58)*('01_Inputs'!$E$58)*('01_Inputs'!$C$58)))/(('01_Inputs'!$C$33)*('02_HW'!$C$6))*('02_HW'!$C$10)),((1)*(((((((('01_Inputs'!$C$65)*('01_Inputs'!$C$10)))*('01_Inputs'!$F$58)*('01_Inputs'!$E$58)*('01_Inputs'!$C$16)))+((IF(('01_Inputs'!$K$58)=1,('01_Inputs'!$C$65),1)))*((MIN(('01_Inputs'!$D$58),IF(('01_Inputs'!$K$58)=1,('01_Inputs'!$C$10)*('01_Inputs'!$F$58),((('01_Inputs'!$C$65)*('01_Inputs'!$C$10)))*('01_Inputs'!$F$58)))))*((('01_Inputs'!$E$58)*('01_Inputs'!$C$58)))*('01_Inputs'!$C$37)))+(0)+((((('01_Inputs'!$C$65)*('01_Inputs'!$C$10)))*('01_Inputs'!$C$58)*('01_Inputs'!$C$16))))/(('01_Inputs'!$C$34)*('02_HW'!$C$7))*('02_HW'!$C$10)))+(1)*('02_HW'!$C$9)*('02_HW'!$C$10))</x:f>
        <x:v>0.0001439308108108108</x:v>
      </x:c>
      <x:c r="E49" s="66" t="n">
        <x:f>(MAX(((1)*((2*((('01_Inputs'!$D$65)*('01_Inputs'!$C$10)))*('01_Inputs'!$F$58)*('01_Inputs'!$E$58)*('01_Inputs'!$C$58)))/(('01_Inputs'!$C$33)*('02_HW'!$C$6))*('02_HW'!$C$10)),((1)*(((((((('01_Inputs'!$D$65)*('01_Inputs'!$C$10)))*('01_Inputs'!$F$58)*('01_Inputs'!$E$58)*('01_Inputs'!$C$16)))+((IF(('01_Inputs'!$K$58)=1,('01_Inputs'!$D$65),1)))*((MIN(('01_Inputs'!$D$58),IF(('01_Inputs'!$K$58)=1,('01_Inputs'!$C$10)*('01_Inputs'!$F$58),((('01_Inputs'!$D$65)*('01_Inputs'!$C$10)))*('01_Inputs'!$F$58)))))*((('01_Inputs'!$E$58)*('01_Inputs'!$C$58)))*('01_Inputs'!$C$37)))+(0)+((((('01_Inputs'!$D$65)*('01_Inputs'!$C$10)))*('01_Inputs'!$C$58)*('01_Inputs'!$C$16))))/(('01_Inputs'!$C$34)*('02_HW'!$C$7))*('02_HW'!$C$10)))+(1)*('02_HW'!$C$9)*('02_HW'!$C$10))</x:f>
        <x:v>0.0002878616216216216</x:v>
      </x:c>
      <x:c r="F49" s="66" t="n">
        <x:f>(MAX(((1)*((2*((('01_Inputs'!$E$65)*('01_Inputs'!$C$10)))*('01_Inputs'!$F$58)*('01_Inputs'!$E$58)*('01_Inputs'!$C$58)))/(('01_Inputs'!$C$33)*('02_HW'!$C$6))*('02_HW'!$C$10)),((1)*(((((((('01_Inputs'!$E$65)*('01_Inputs'!$C$10)))*('01_Inputs'!$F$58)*('01_Inputs'!$E$58)*('01_Inputs'!$C$16)))+((IF(('01_Inputs'!$K$58)=1,('01_Inputs'!$E$65),1)))*((MIN(('01_Inputs'!$D$58),IF(('01_Inputs'!$K$58)=1,('01_Inputs'!$C$10)*('01_Inputs'!$F$58),((('01_Inputs'!$E$65)*('01_Inputs'!$C$10)))*('01_Inputs'!$F$58)))))*((('01_Inputs'!$E$58)*('01_Inputs'!$C$58)))*('01_Inputs'!$C$37)))+(0)+((((('01_Inputs'!$E$65)*('01_Inputs'!$C$10)))*('01_Inputs'!$C$58)*('01_Inputs'!$C$16))))/(('01_Inputs'!$C$34)*('02_HW'!$C$7))*('02_HW'!$C$10)))+(1)*('02_HW'!$C$9)*('02_HW'!$C$10))</x:f>
        <x:v>0.0005757232432432432</x:v>
      </x:c>
      <x:c r="G49" s="66" t="n">
        <x:f>(MAX(((1)*((2*((('01_Inputs'!$F$65)*('01_Inputs'!$C$10)))*('01_Inputs'!$F$58)*('01_Inputs'!$E$58)*('01_Inputs'!$C$58)))/(('01_Inputs'!$C$33)*('02_HW'!$C$6))*('02_HW'!$C$10)),((1)*(((((((('01_Inputs'!$F$65)*('01_Inputs'!$C$10)))*('01_Inputs'!$F$58)*('01_Inputs'!$E$58)*('01_Inputs'!$C$16)))+((IF(('01_Inputs'!$K$58)=1,('01_Inputs'!$F$65),1)))*((MIN(('01_Inputs'!$D$58),IF(('01_Inputs'!$K$58)=1,('01_Inputs'!$C$10)*('01_Inputs'!$F$58),((('01_Inputs'!$F$65)*('01_Inputs'!$C$10)))*('01_Inputs'!$F$58)))))*((('01_Inputs'!$E$58)*('01_Inputs'!$C$58)))*('01_Inputs'!$C$37)))+(0)+((((('01_Inputs'!$F$65)*('01_Inputs'!$C$10)))*('01_Inputs'!$C$58)*('01_Inputs'!$C$16))))/(('01_Inputs'!$C$34)*('02_HW'!$C$7))*('02_HW'!$C$10)))+(1)*('02_HW'!$C$9)*('02_HW'!$C$10))</x:f>
        <x:v>0.0011514464864864865</x:v>
      </x:c>
      <x:c r="H49" s="66" t="n">
        <x:f>(MAX(((1)*((2*((('01_Inputs'!$G$65)*('01_Inputs'!$C$10)))*('01_Inputs'!$F$58)*('01_Inputs'!$E$58)*('01_Inputs'!$C$58)))/(('01_Inputs'!$C$33)*('02_HW'!$C$6))*('02_HW'!$C$10)),((1)*(((((((('01_Inputs'!$G$65)*('01_Inputs'!$C$10)))*('01_Inputs'!$F$58)*('01_Inputs'!$E$58)*('01_Inputs'!$C$16)))+((IF(('01_Inputs'!$K$58)=1,('01_Inputs'!$G$65),1)))*((MIN(('01_Inputs'!$D$58),IF(('01_Inputs'!$K$58)=1,('01_Inputs'!$C$10)*('01_Inputs'!$F$58),((('01_Inputs'!$G$65)*('01_Inputs'!$C$10)))*('01_Inputs'!$F$58)))))*((('01_Inputs'!$E$58)*('01_Inputs'!$C$58)))*('01_Inputs'!$C$37)))+(0)+((((('01_Inputs'!$G$65)*('01_Inputs'!$C$10)))*('01_Inputs'!$C$58)*('01_Inputs'!$C$16))))/(('01_Inputs'!$C$34)*('02_HW'!$C$7))*('02_HW'!$C$10)))+(1)*('02_HW'!$C$9)*('02_HW'!$C$10))</x:f>
        <x:v>0.002302892972972973</x:v>
      </x:c>
    </x:row>
    <x:row r="50">
      <x:c r="A50" s="21" t="str">
        <x:v>cms_forward</x:v>
      </x:c>
      <x:c r="B50" s="21" t="str">
        <x:v>cms_l3_router</x:v>
      </x:c>
      <x:c r="C50" s="66" t="n">
        <x:f>(MAX(((1)*((2*((('01_Inputs'!$B$65)*('01_Inputs'!$C$10)))*('01_Inputs'!$B$59)*('01_Inputs'!$D$59)+('01_Inputs'!$G$59)*((('01_Inputs'!$B$65)*('01_Inputs'!$C$10)))*('01_Inputs'!$D$59)))/(('01_Inputs'!$C$33)*('02_HW'!$C$6))*('02_HW'!$C$10)),((1)*(((((('01_Inputs'!$B$65)*('01_Inputs'!$C$10)))*('01_Inputs'!$B$59)*('01_Inputs'!$C$16)+((IF(('01_Inputs'!$K$59)=1,('01_Inputs'!$B$65),1)))*((('01_Inputs'!$B$59)*('01_Inputs'!$D$59)))*('01_Inputs'!$C$37)))+(0)+((((('01_Inputs'!$B$65)*('01_Inputs'!$C$10)))*('01_Inputs'!$F$59)*('01_Inputs'!$M$59))))/(('01_Inputs'!$C$34)*('02_HW'!$C$7))*('02_HW'!$C$10)))+(1)*('02_HW'!$C$9)*('02_HW'!$C$10))</x:f>
        <x:v>0.000284507027027027</x:v>
      </x:c>
      <x:c r="D50" s="66" t="n">
        <x:f>(MAX(((1)*((2*((('01_Inputs'!$C$65)*('01_Inputs'!$C$10)))*('01_Inputs'!$B$59)*('01_Inputs'!$D$59)+('01_Inputs'!$G$59)*((('01_Inputs'!$C$65)*('01_Inputs'!$C$10)))*('01_Inputs'!$D$59)))/(('01_Inputs'!$C$33)*('02_HW'!$C$6))*('02_HW'!$C$10)),((1)*(((((('01_Inputs'!$C$65)*('01_Inputs'!$C$10)))*('01_Inputs'!$B$59)*('01_Inputs'!$C$16)+((IF(('01_Inputs'!$K$59)=1,('01_Inputs'!$C$65),1)))*((('01_Inputs'!$B$59)*('01_Inputs'!$D$59)))*('01_Inputs'!$C$37)))+(0)+((((('01_Inputs'!$C$65)*('01_Inputs'!$C$10)))*('01_Inputs'!$F$59)*('01_Inputs'!$M$59))))/(('01_Inputs'!$C$34)*('02_HW'!$C$7))*('02_HW'!$C$10)))+(1)*('02_HW'!$C$9)*('02_HW'!$C$10))</x:f>
        <x:v>0.000569014054054054</x:v>
      </x:c>
      <x:c r="E50" s="66" t="n">
        <x:f>(MAX(((1)*((2*((('01_Inputs'!$D$65)*('01_Inputs'!$C$10)))*('01_Inputs'!$B$59)*('01_Inputs'!$D$59)+('01_Inputs'!$G$59)*((('01_Inputs'!$D$65)*('01_Inputs'!$C$10)))*('01_Inputs'!$D$59)))/(('01_Inputs'!$C$33)*('02_HW'!$C$6))*('02_HW'!$C$10)),((1)*(((((('01_Inputs'!$D$65)*('01_Inputs'!$C$10)))*('01_Inputs'!$B$59)*('01_Inputs'!$C$16)+((IF(('01_Inputs'!$K$59)=1,('01_Inputs'!$D$65),1)))*((('01_Inputs'!$B$59)*('01_Inputs'!$D$59)))*('01_Inputs'!$C$37)))+(0)+((((('01_Inputs'!$D$65)*('01_Inputs'!$C$10)))*('01_Inputs'!$F$59)*('01_Inputs'!$M$59))))/(('01_Inputs'!$C$34)*('02_HW'!$C$7))*('02_HW'!$C$10)))+(1)*('02_HW'!$C$9)*('02_HW'!$C$10))</x:f>
        <x:v>0.001138028108108108</x:v>
      </x:c>
      <x:c r="F50" s="66" t="n">
        <x:f>(MAX(((1)*((2*((('01_Inputs'!$E$65)*('01_Inputs'!$C$10)))*('01_Inputs'!$B$59)*('01_Inputs'!$D$59)+('01_Inputs'!$G$59)*((('01_Inputs'!$E$65)*('01_Inputs'!$C$10)))*('01_Inputs'!$D$59)))/(('01_Inputs'!$C$33)*('02_HW'!$C$6))*('02_HW'!$C$10)),((1)*(((((('01_Inputs'!$E$65)*('01_Inputs'!$C$10)))*('01_Inputs'!$B$59)*('01_Inputs'!$C$16)+((IF(('01_Inputs'!$K$59)=1,('01_Inputs'!$E$65),1)))*((('01_Inputs'!$B$59)*('01_Inputs'!$D$59)))*('01_Inputs'!$C$37)))+(0)+((((('01_Inputs'!$E$65)*('01_Inputs'!$C$10)))*('01_Inputs'!$F$59)*('01_Inputs'!$M$59))))/(('01_Inputs'!$C$34)*('02_HW'!$C$7))*('02_HW'!$C$10)))+(1)*('02_HW'!$C$9)*('02_HW'!$C$10))</x:f>
        <x:v>0.002276056216216216</x:v>
      </x:c>
      <x:c r="G50" s="66" t="n">
        <x:f>(MAX(((1)*((2*((('01_Inputs'!$F$65)*('01_Inputs'!$C$10)))*('01_Inputs'!$B$59)*('01_Inputs'!$D$59)+('01_Inputs'!$G$59)*((('01_Inputs'!$F$65)*('01_Inputs'!$C$10)))*('01_Inputs'!$D$59)))/(('01_Inputs'!$C$33)*('02_HW'!$C$6))*('02_HW'!$C$10)),((1)*(((((('01_Inputs'!$F$65)*('01_Inputs'!$C$10)))*('01_Inputs'!$B$59)*('01_Inputs'!$C$16)+((IF(('01_Inputs'!$K$59)=1,('01_Inputs'!$F$65),1)))*((('01_Inputs'!$B$59)*('01_Inputs'!$D$59)))*('01_Inputs'!$C$37)))+(0)+((((('01_Inputs'!$F$65)*('01_Inputs'!$C$10)))*('01_Inputs'!$F$59)*('01_Inputs'!$M$59))))/(('01_Inputs'!$C$34)*('02_HW'!$C$7))*('02_HW'!$C$10)))+(1)*('02_HW'!$C$9)*('02_HW'!$C$10))</x:f>
        <x:v>0.004552112432432432</x:v>
      </x:c>
      <x:c r="H50" s="66" t="n">
        <x:f>(MAX(((1)*((2*((('01_Inputs'!$G$65)*('01_Inputs'!$C$10)))*('01_Inputs'!$B$59)*('01_Inputs'!$D$59)+('01_Inputs'!$G$59)*((('01_Inputs'!$G$65)*('01_Inputs'!$C$10)))*('01_Inputs'!$D$59)))/(('01_Inputs'!$C$33)*('02_HW'!$C$6))*('02_HW'!$C$10)),((1)*(((((('01_Inputs'!$G$65)*('01_Inputs'!$C$10)))*('01_Inputs'!$B$59)*('01_Inputs'!$C$16)+((IF(('01_Inputs'!$K$59)=1,('01_Inputs'!$G$65),1)))*((('01_Inputs'!$B$59)*('01_Inputs'!$D$59)))*('01_Inputs'!$C$37)))+(0)+((((('01_Inputs'!$G$65)*('01_Inputs'!$C$10)))*('01_Inputs'!$F$59)*('01_Inputs'!$M$59))))/(('01_Inputs'!$C$34)*('02_HW'!$C$7))*('02_HW'!$C$10)))+(1)*('02_HW'!$C$9)*('02_HW'!$C$10))</x:f>
        <x:v>0.009104224864864865</x:v>
      </x:c>
    </x:row>
    <x:row r="51">
      <x:c r="A51" s="21" t="str">
        <x:v>cms_forward</x:v>
      </x:c>
      <x:c r="B51" s="21" t="str">
        <x:v>cms_l3_expert_a</x:v>
      </x:c>
      <x:c r="C51" s="66" t="n">
        <x:f>(MAX(((1)*((2*((('01_Inputs'!$B$65)*('01_Inputs'!$C$10)))*('01_Inputs'!$F$59)*('01_Inputs'!$B$59)*('01_Inputs'!$E$59)))/(('01_Inputs'!$C$33)*('02_HW'!$C$6))*('02_HW'!$C$10)),((1)*(((((('01_Inputs'!$B$65)*('01_Inputs'!$C$10)))*('01_Inputs'!$B$59)*('01_Inputs'!$C$16)+((((('01_Inputs'!$B$65)*('01_Inputs'!$C$10)))*('01_Inputs'!$F$59)*('01_Inputs'!$M$59)))+((IF(('01_Inputs'!$K$59)=1,('01_Inputs'!$B$65),1)))*((MIN(('01_Inputs'!$D$59),IF(('01_Inputs'!$K$59)=1,('01_Inputs'!$C$10)*('01_Inputs'!$F$59),((('01_Inputs'!$B$65)*('01_Inputs'!$C$10)))*('01_Inputs'!$F$59)))))*((('01_Inputs'!$B$59)*('01_Inputs'!$E$59)))*('01_Inputs'!$C$37)))+(0)+((((('01_Inputs'!$B$65)*('01_Inputs'!$C$10)))*('01_Inputs'!$F$59)*('01_Inputs'!$E$59)*('01_Inputs'!$C$16))))/(('01_Inputs'!$C$34)*('02_HW'!$C$7))*('02_HW'!$C$10)))+(1)*('02_HW'!$C$9)*('02_HW'!$C$10))</x:f>
        <x:v>0.00007196648648648649</x:v>
      </x:c>
      <x:c r="D51" s="66" t="n">
        <x:f>(MAX(((1)*((2*((('01_Inputs'!$C$65)*('01_Inputs'!$C$10)))*('01_Inputs'!$F$59)*('01_Inputs'!$B$59)*('01_Inputs'!$E$59)))/(('01_Inputs'!$C$33)*('02_HW'!$C$6))*('02_HW'!$C$10)),((1)*(((((('01_Inputs'!$C$65)*('01_Inputs'!$C$10)))*('01_Inputs'!$B$59)*('01_Inputs'!$C$16)+((((('01_Inputs'!$C$65)*('01_Inputs'!$C$10)))*('01_Inputs'!$F$59)*('01_Inputs'!$M$59)))+((IF(('01_Inputs'!$K$59)=1,('01_Inputs'!$C$65),1)))*((MIN(('01_Inputs'!$D$59),IF(('01_Inputs'!$K$59)=1,('01_Inputs'!$C$10)*('01_Inputs'!$F$59),((('01_Inputs'!$C$65)*('01_Inputs'!$C$10)))*('01_Inputs'!$F$59)))))*((('01_Inputs'!$B$59)*('01_Inputs'!$E$59)))*('01_Inputs'!$C$37)))+(0)+((((('01_Inputs'!$C$65)*('01_Inputs'!$C$10)))*('01_Inputs'!$F$59)*('01_Inputs'!$E$59)*('01_Inputs'!$C$16))))/(('01_Inputs'!$C$34)*('02_HW'!$C$7))*('02_HW'!$C$10)))+(1)*('02_HW'!$C$9)*('02_HW'!$C$10))</x:f>
        <x:v>0.00014393297297297299</x:v>
      </x:c>
      <x:c r="E51" s="66" t="n">
        <x:f>(MAX(((1)*((2*((('01_Inputs'!$D$65)*('01_Inputs'!$C$10)))*('01_Inputs'!$F$59)*('01_Inputs'!$B$59)*('01_Inputs'!$E$59)))/(('01_Inputs'!$C$33)*('02_HW'!$C$6))*('02_HW'!$C$10)),((1)*(((((('01_Inputs'!$D$65)*('01_Inputs'!$C$10)))*('01_Inputs'!$B$59)*('01_Inputs'!$C$16)+((((('01_Inputs'!$D$65)*('01_Inputs'!$C$10)))*('01_Inputs'!$F$59)*('01_Inputs'!$M$59)))+((IF(('01_Inputs'!$K$59)=1,('01_Inputs'!$D$65),1)))*((MIN(('01_Inputs'!$D$59),IF(('01_Inputs'!$K$59)=1,('01_Inputs'!$C$10)*('01_Inputs'!$F$59),((('01_Inputs'!$D$65)*('01_Inputs'!$C$10)))*('01_Inputs'!$F$59)))))*((('01_Inputs'!$B$59)*('01_Inputs'!$E$59)))*('01_Inputs'!$C$37)))+(0)+((((('01_Inputs'!$D$65)*('01_Inputs'!$C$10)))*('01_Inputs'!$F$59)*('01_Inputs'!$E$59)*('01_Inputs'!$C$16))))/(('01_Inputs'!$C$34)*('02_HW'!$C$7))*('02_HW'!$C$10)))+(1)*('02_HW'!$C$9)*('02_HW'!$C$10))</x:f>
        <x:v>0.00028786594594594597</x:v>
      </x:c>
      <x:c r="F51" s="66" t="n">
        <x:f>(MAX(((1)*((2*((('01_Inputs'!$E$65)*('01_Inputs'!$C$10)))*('01_Inputs'!$F$59)*('01_Inputs'!$B$59)*('01_Inputs'!$E$59)))/(('01_Inputs'!$C$33)*('02_HW'!$C$6))*('02_HW'!$C$10)),((1)*(((((('01_Inputs'!$E$65)*('01_Inputs'!$C$10)))*('01_Inputs'!$B$59)*('01_Inputs'!$C$16)+((((('01_Inputs'!$E$65)*('01_Inputs'!$C$10)))*('01_Inputs'!$F$59)*('01_Inputs'!$M$59)))+((IF(('01_Inputs'!$K$59)=1,('01_Inputs'!$E$65),1)))*((MIN(('01_Inputs'!$D$59),IF(('01_Inputs'!$K$59)=1,('01_Inputs'!$C$10)*('01_Inputs'!$F$59),((('01_Inputs'!$E$65)*('01_Inputs'!$C$10)))*('01_Inputs'!$F$59)))))*((('01_Inputs'!$B$59)*('01_Inputs'!$E$59)))*('01_Inputs'!$C$37)))+(0)+((((('01_Inputs'!$E$65)*('01_Inputs'!$C$10)))*('01_Inputs'!$F$59)*('01_Inputs'!$E$59)*('01_Inputs'!$C$16))))/(('01_Inputs'!$C$34)*('02_HW'!$C$7))*('02_HW'!$C$10)))+(1)*('02_HW'!$C$9)*('02_HW'!$C$10))</x:f>
        <x:v>0.0005757318918918919</x:v>
      </x:c>
      <x:c r="G51" s="66" t="n">
        <x:f>(MAX(((1)*((2*((('01_Inputs'!$F$65)*('01_Inputs'!$C$10)))*('01_Inputs'!$F$59)*('01_Inputs'!$B$59)*('01_Inputs'!$E$59)))/(('01_Inputs'!$C$33)*('02_HW'!$C$6))*('02_HW'!$C$10)),((1)*(((((('01_Inputs'!$F$65)*('01_Inputs'!$C$10)))*('01_Inputs'!$B$59)*('01_Inputs'!$C$16)+((((('01_Inputs'!$F$65)*('01_Inputs'!$C$10)))*('01_Inputs'!$F$59)*('01_Inputs'!$M$59)))+((IF(('01_Inputs'!$K$59)=1,('01_Inputs'!$F$65),1)))*((MIN(('01_Inputs'!$D$59),IF(('01_Inputs'!$K$59)=1,('01_Inputs'!$C$10)*('01_Inputs'!$F$59),((('01_Inputs'!$F$65)*('01_Inputs'!$C$10)))*('01_Inputs'!$F$59)))))*((('01_Inputs'!$B$59)*('01_Inputs'!$E$59)))*('01_Inputs'!$C$37)))+(0)+((((('01_Inputs'!$F$65)*('01_Inputs'!$C$10)))*('01_Inputs'!$F$59)*('01_Inputs'!$E$59)*('01_Inputs'!$C$16))))/(('01_Inputs'!$C$34)*('02_HW'!$C$7))*('02_HW'!$C$10)))+(1)*('02_HW'!$C$9)*('02_HW'!$C$10))</x:f>
        <x:v>0.0011514637837837839</x:v>
      </x:c>
      <x:c r="H51" s="66" t="n">
        <x:f>(MAX(((1)*((2*((('01_Inputs'!$G$65)*('01_Inputs'!$C$10)))*('01_Inputs'!$F$59)*('01_Inputs'!$B$59)*('01_Inputs'!$E$59)))/(('01_Inputs'!$C$33)*('02_HW'!$C$6))*('02_HW'!$C$10)),((1)*(((((('01_Inputs'!$G$65)*('01_Inputs'!$C$10)))*('01_Inputs'!$B$59)*('01_Inputs'!$C$16)+((((('01_Inputs'!$G$65)*('01_Inputs'!$C$10)))*('01_Inputs'!$F$59)*('01_Inputs'!$M$59)))+((IF(('01_Inputs'!$K$59)=1,('01_Inputs'!$G$65),1)))*((MIN(('01_Inputs'!$D$59),IF(('01_Inputs'!$K$59)=1,('01_Inputs'!$C$10)*('01_Inputs'!$F$59),((('01_Inputs'!$G$65)*('01_Inputs'!$C$10)))*('01_Inputs'!$F$59)))))*((('01_Inputs'!$B$59)*('01_Inputs'!$E$59)))*('01_Inputs'!$C$37)))+(0)+((((('01_Inputs'!$G$65)*('01_Inputs'!$C$10)))*('01_Inputs'!$F$59)*('01_Inputs'!$E$59)*('01_Inputs'!$C$16))))/(('01_Inputs'!$C$34)*('02_HW'!$C$7))*('02_HW'!$C$10)))+(1)*('02_HW'!$C$9)*('02_HW'!$C$10))</x:f>
        <x:v>0.0023029275675675678</x:v>
      </x:c>
    </x:row>
    <x:row r="52">
      <x:c r="A52" s="21" t="str">
        <x:v>cms_forward</x:v>
      </x:c>
      <x:c r="B52" s="21" t="str">
        <x:v>cms_l3_expert_b</x:v>
      </x:c>
      <x:c r="C52" s="66" t="n">
        <x:f>(MAX(((1)*((2*((('01_Inputs'!$B$65)*('01_Inputs'!$C$10)))*('01_Inputs'!$F$59)*('01_Inputs'!$E$59)*('01_Inputs'!$C$59)))/(('01_Inputs'!$C$33)*('02_HW'!$C$6))*('02_HW'!$C$10)),((1)*(((((((('01_Inputs'!$B$65)*('01_Inputs'!$C$10)))*('01_Inputs'!$F$59)*('01_Inputs'!$E$59)*('01_Inputs'!$C$16)))+((IF(('01_Inputs'!$K$59)=1,('01_Inputs'!$B$65),1)))*((MIN(('01_Inputs'!$D$59),IF(('01_Inputs'!$K$59)=1,('01_Inputs'!$C$10)*('01_Inputs'!$F$59),((('01_Inputs'!$B$65)*('01_Inputs'!$C$10)))*('01_Inputs'!$F$59)))))*((('01_Inputs'!$E$59)*('01_Inputs'!$C$59)))*('01_Inputs'!$C$37)))+(0)+((((('01_Inputs'!$B$65)*('01_Inputs'!$C$10)))*('01_Inputs'!$C$59)*('01_Inputs'!$C$16))))/(('01_Inputs'!$C$34)*('02_HW'!$C$7))*('02_HW'!$C$10)))+(1)*('02_HW'!$C$9)*('02_HW'!$C$10))</x:f>
        <x:v>0.0000719654054054054</x:v>
      </x:c>
      <x:c r="D52" s="66" t="n">
        <x:f>(MAX(((1)*((2*((('01_Inputs'!$C$65)*('01_Inputs'!$C$10)))*('01_Inputs'!$F$59)*('01_Inputs'!$E$59)*('01_Inputs'!$C$59)))/(('01_Inputs'!$C$33)*('02_HW'!$C$6))*('02_HW'!$C$10)),((1)*(((((((('01_Inputs'!$C$65)*('01_Inputs'!$C$10)))*('01_Inputs'!$F$59)*('01_Inputs'!$E$59)*('01_Inputs'!$C$16)))+((IF(('01_Inputs'!$K$59)=1,('01_Inputs'!$C$65),1)))*((MIN(('01_Inputs'!$D$59),IF(('01_Inputs'!$K$59)=1,('01_Inputs'!$C$10)*('01_Inputs'!$F$59),((('01_Inputs'!$C$65)*('01_Inputs'!$C$10)))*('01_Inputs'!$F$59)))))*((('01_Inputs'!$E$59)*('01_Inputs'!$C$59)))*('01_Inputs'!$C$37)))+(0)+((((('01_Inputs'!$C$65)*('01_Inputs'!$C$10)))*('01_Inputs'!$C$59)*('01_Inputs'!$C$16))))/(('01_Inputs'!$C$34)*('02_HW'!$C$7))*('02_HW'!$C$10)))+(1)*('02_HW'!$C$9)*('02_HW'!$C$10))</x:f>
        <x:v>0.0001439308108108108</x:v>
      </x:c>
      <x:c r="E52" s="66" t="n">
        <x:f>(MAX(((1)*((2*((('01_Inputs'!$D$65)*('01_Inputs'!$C$10)))*('01_Inputs'!$F$59)*('01_Inputs'!$E$59)*('01_Inputs'!$C$59)))/(('01_Inputs'!$C$33)*('02_HW'!$C$6))*('02_HW'!$C$10)),((1)*(((((((('01_Inputs'!$D$65)*('01_Inputs'!$C$10)))*('01_Inputs'!$F$59)*('01_Inputs'!$E$59)*('01_Inputs'!$C$16)))+((IF(('01_Inputs'!$K$59)=1,('01_Inputs'!$D$65),1)))*((MIN(('01_Inputs'!$D$59),IF(('01_Inputs'!$K$59)=1,('01_Inputs'!$C$10)*('01_Inputs'!$F$59),((('01_Inputs'!$D$65)*('01_Inputs'!$C$10)))*('01_Inputs'!$F$59)))))*((('01_Inputs'!$E$59)*('01_Inputs'!$C$59)))*('01_Inputs'!$C$37)))+(0)+((((('01_Inputs'!$D$65)*('01_Inputs'!$C$10)))*('01_Inputs'!$C$59)*('01_Inputs'!$C$16))))/(('01_Inputs'!$C$34)*('02_HW'!$C$7))*('02_HW'!$C$10)))+(1)*('02_HW'!$C$9)*('02_HW'!$C$10))</x:f>
        <x:v>0.0002878616216216216</x:v>
      </x:c>
      <x:c r="F52" s="66" t="n">
        <x:f>(MAX(((1)*((2*((('01_Inputs'!$E$65)*('01_Inputs'!$C$10)))*('01_Inputs'!$F$59)*('01_Inputs'!$E$59)*('01_Inputs'!$C$59)))/(('01_Inputs'!$C$33)*('02_HW'!$C$6))*('02_HW'!$C$10)),((1)*(((((((('01_Inputs'!$E$65)*('01_Inputs'!$C$10)))*('01_Inputs'!$F$59)*('01_Inputs'!$E$59)*('01_Inputs'!$C$16)))+((IF(('01_Inputs'!$K$59)=1,('01_Inputs'!$E$65),1)))*((MIN(('01_Inputs'!$D$59),IF(('01_Inputs'!$K$59)=1,('01_Inputs'!$C$10)*('01_Inputs'!$F$59),((('01_Inputs'!$E$65)*('01_Inputs'!$C$10)))*('01_Inputs'!$F$59)))))*((('01_Inputs'!$E$59)*('01_Inputs'!$C$59)))*('01_Inputs'!$C$37)))+(0)+((((('01_Inputs'!$E$65)*('01_Inputs'!$C$10)))*('01_Inputs'!$C$59)*('01_Inputs'!$C$16))))/(('01_Inputs'!$C$34)*('02_HW'!$C$7))*('02_HW'!$C$10)))+(1)*('02_HW'!$C$9)*('02_HW'!$C$10))</x:f>
        <x:v>0.0005757232432432432</x:v>
      </x:c>
      <x:c r="G52" s="66" t="n">
        <x:f>(MAX(((1)*((2*((('01_Inputs'!$F$65)*('01_Inputs'!$C$10)))*('01_Inputs'!$F$59)*('01_Inputs'!$E$59)*('01_Inputs'!$C$59)))/(('01_Inputs'!$C$33)*('02_HW'!$C$6))*('02_HW'!$C$10)),((1)*(((((((('01_Inputs'!$F$65)*('01_Inputs'!$C$10)))*('01_Inputs'!$F$59)*('01_Inputs'!$E$59)*('01_Inputs'!$C$16)))+((IF(('01_Inputs'!$K$59)=1,('01_Inputs'!$F$65),1)))*((MIN(('01_Inputs'!$D$59),IF(('01_Inputs'!$K$59)=1,('01_Inputs'!$C$10)*('01_Inputs'!$F$59),((('01_Inputs'!$F$65)*('01_Inputs'!$C$10)))*('01_Inputs'!$F$59)))))*((('01_Inputs'!$E$59)*('01_Inputs'!$C$59)))*('01_Inputs'!$C$37)))+(0)+((((('01_Inputs'!$F$65)*('01_Inputs'!$C$10)))*('01_Inputs'!$C$59)*('01_Inputs'!$C$16))))/(('01_Inputs'!$C$34)*('02_HW'!$C$7))*('02_HW'!$C$10)))+(1)*('02_HW'!$C$9)*('02_HW'!$C$10))</x:f>
        <x:v>0.0011514464864864865</x:v>
      </x:c>
      <x:c r="H52" s="66" t="n">
        <x:f>(MAX(((1)*((2*((('01_Inputs'!$G$65)*('01_Inputs'!$C$10)))*('01_Inputs'!$F$59)*('01_Inputs'!$E$59)*('01_Inputs'!$C$59)))/(('01_Inputs'!$C$33)*('02_HW'!$C$6))*('02_HW'!$C$10)),((1)*(((((((('01_Inputs'!$G$65)*('01_Inputs'!$C$10)))*('01_Inputs'!$F$59)*('01_Inputs'!$E$59)*('01_Inputs'!$C$16)))+((IF(('01_Inputs'!$K$59)=1,('01_Inputs'!$G$65),1)))*((MIN(('01_Inputs'!$D$59),IF(('01_Inputs'!$K$59)=1,('01_Inputs'!$C$10)*('01_Inputs'!$F$59),((('01_Inputs'!$G$65)*('01_Inputs'!$C$10)))*('01_Inputs'!$F$59)))))*((('01_Inputs'!$E$59)*('01_Inputs'!$C$59)))*('01_Inputs'!$C$37)))+(0)+((((('01_Inputs'!$G$65)*('01_Inputs'!$C$10)))*('01_Inputs'!$C$59)*('01_Inputs'!$C$16))))/(('01_Inputs'!$C$34)*('02_HW'!$C$7))*('02_HW'!$C$10)))+(1)*('02_HW'!$C$9)*('02_HW'!$C$10))</x:f>
        <x:v>0.002302892972972973</x:v>
      </x:c>
    </x:row>
    <x:row r="53">
      <x:c r="A53" s="21" t="str">
        <x:v>loss</x:v>
      </x:c>
      <x:c r="B53" s="21" t="str">
        <x:v>M_k_target_forward</x:v>
      </x:c>
      <x:c r="C53" s="66" t="n">
        <x:f>(MAX(((1)*((2*((('01_Inputs'!$B$65)*('01_Inputs'!$C$10)))*((('01_Inputs'!$B$48)*('01_Inputs'!$C$48)+('01_Inputs'!$C$48)*('01_Inputs'!$D$48)))+((('01_Inputs'!$B$65)*('01_Inputs'!$C$10)))*(('01_Inputs'!$C$39)*('01_Inputs'!$C$48)+('01_Inputs'!$C$40)*('01_Inputs'!$D$48))))/(('01_Inputs'!$C$33)*('02_HW'!$C$6))*('02_HW'!$C$10)),((1)*(((((((('01_Inputs'!$B$65)*('01_Inputs'!$C$10)))*('01_Inputs'!$B$48)*('01_Inputs'!$C$16)))+('01_Inputs'!$B$65)*((('01_Inputs'!$B$48)*('01_Inputs'!$C$48)+('01_Inputs'!$C$48)*('01_Inputs'!$D$48)))*('01_Inputs'!$C$37)*('01_Inputs'!$H$48)))+(0)+((((('01_Inputs'!$B$65)*('01_Inputs'!$C$10)))*('01_Inputs'!$D$48)*('01_Inputs'!$C$16))))/(('01_Inputs'!$C$34)*('02_HW'!$C$7))*('02_HW'!$C$10)))+(1)*('02_HW'!$C$9)*('02_HW'!$C$10))</x:f>
        <x:v>0.018139744864864863</x:v>
      </x:c>
      <x:c r="D53" s="66" t="n">
        <x:f>(MAX(((1)*((2*((('01_Inputs'!$C$65)*('01_Inputs'!$C$10)))*((('01_Inputs'!$B$48)*('01_Inputs'!$C$48)+('01_Inputs'!$C$48)*('01_Inputs'!$D$48)))+((('01_Inputs'!$C$65)*('01_Inputs'!$C$10)))*(('01_Inputs'!$C$39)*('01_Inputs'!$C$48)+('01_Inputs'!$C$40)*('01_Inputs'!$D$48))))/(('01_Inputs'!$C$33)*('02_HW'!$C$6))*('02_HW'!$C$10)),((1)*(((((((('01_Inputs'!$C$65)*('01_Inputs'!$C$10)))*('01_Inputs'!$B$48)*('01_Inputs'!$C$16)))+('01_Inputs'!$C$65)*((('01_Inputs'!$B$48)*('01_Inputs'!$C$48)+('01_Inputs'!$C$48)*('01_Inputs'!$D$48)))*('01_Inputs'!$C$37)*('01_Inputs'!$H$48)))+(0)+((((('01_Inputs'!$C$65)*('01_Inputs'!$C$10)))*('01_Inputs'!$D$48)*('01_Inputs'!$C$16))))/(('01_Inputs'!$C$34)*('02_HW'!$C$7))*('02_HW'!$C$10)))+(1)*('02_HW'!$C$9)*('02_HW'!$C$10))</x:f>
        <x:v>0.036279489729729726</x:v>
      </x:c>
      <x:c r="E53" s="66" t="n">
        <x:f>(MAX(((1)*((2*((('01_Inputs'!$D$65)*('01_Inputs'!$C$10)))*((('01_Inputs'!$B$48)*('01_Inputs'!$C$48)+('01_Inputs'!$C$48)*('01_Inputs'!$D$48)))+((('01_Inputs'!$D$65)*('01_Inputs'!$C$10)))*(('01_Inputs'!$C$39)*('01_Inputs'!$C$48)+('01_Inputs'!$C$40)*('01_Inputs'!$D$48))))/(('01_Inputs'!$C$33)*('02_HW'!$C$6))*('02_HW'!$C$10)),((1)*(((((((('01_Inputs'!$D$65)*('01_Inputs'!$C$10)))*('01_Inputs'!$B$48)*('01_Inputs'!$C$16)))+('01_Inputs'!$D$65)*((('01_Inputs'!$B$48)*('01_Inputs'!$C$48)+('01_Inputs'!$C$48)*('01_Inputs'!$D$48)))*('01_Inputs'!$C$37)*('01_Inputs'!$H$48)))+(0)+((((('01_Inputs'!$D$65)*('01_Inputs'!$C$10)))*('01_Inputs'!$D$48)*('01_Inputs'!$C$16))))/(('01_Inputs'!$C$34)*('02_HW'!$C$7))*('02_HW'!$C$10)))+(1)*('02_HW'!$C$9)*('02_HW'!$C$10))</x:f>
        <x:v>0.07255897945945945</x:v>
      </x:c>
      <x:c r="F53" s="66" t="n">
        <x:f>(MAX(((1)*((2*((('01_Inputs'!$E$65)*('01_Inputs'!$C$10)))*((('01_Inputs'!$B$48)*('01_Inputs'!$C$48)+('01_Inputs'!$C$48)*('01_Inputs'!$D$48)))+((('01_Inputs'!$E$65)*('01_Inputs'!$C$10)))*(('01_Inputs'!$C$39)*('01_Inputs'!$C$48)+('01_Inputs'!$C$40)*('01_Inputs'!$D$48))))/(('01_Inputs'!$C$33)*('02_HW'!$C$6))*('02_HW'!$C$10)),((1)*(((((((('01_Inputs'!$E$65)*('01_Inputs'!$C$10)))*('01_Inputs'!$B$48)*('01_Inputs'!$C$16)))+('01_Inputs'!$E$65)*((('01_Inputs'!$B$48)*('01_Inputs'!$C$48)+('01_Inputs'!$C$48)*('01_Inputs'!$D$48)))*('01_Inputs'!$C$37)*('01_Inputs'!$H$48)))+(0)+((((('01_Inputs'!$E$65)*('01_Inputs'!$C$10)))*('01_Inputs'!$D$48)*('01_Inputs'!$C$16))))/(('01_Inputs'!$C$34)*('02_HW'!$C$7))*('02_HW'!$C$10)))+(1)*('02_HW'!$C$9)*('02_HW'!$C$10))</x:f>
        <x:v>0.1451179589189189</x:v>
      </x:c>
      <x:c r="G53" s="66" t="n">
        <x:f>(MAX(((1)*((2*((('01_Inputs'!$F$65)*('01_Inputs'!$C$10)))*((('01_Inputs'!$B$48)*('01_Inputs'!$C$48)+('01_Inputs'!$C$48)*('01_Inputs'!$D$48)))+((('01_Inputs'!$F$65)*('01_Inputs'!$C$10)))*(('01_Inputs'!$C$39)*('01_Inputs'!$C$48)+('01_Inputs'!$C$40)*('01_Inputs'!$D$48))))/(('01_Inputs'!$C$33)*('02_HW'!$C$6))*('02_HW'!$C$10)),((1)*(((((((('01_Inputs'!$F$65)*('01_Inputs'!$C$10)))*('01_Inputs'!$B$48)*('01_Inputs'!$C$16)))+('01_Inputs'!$F$65)*((('01_Inputs'!$B$48)*('01_Inputs'!$C$48)+('01_Inputs'!$C$48)*('01_Inputs'!$D$48)))*('01_Inputs'!$C$37)*('01_Inputs'!$H$48)))+(0)+((((('01_Inputs'!$F$65)*('01_Inputs'!$C$10)))*('01_Inputs'!$D$48)*('01_Inputs'!$C$16))))/(('01_Inputs'!$C$34)*('02_HW'!$C$7))*('02_HW'!$C$10)))+(1)*('02_HW'!$C$9)*('02_HW'!$C$10))</x:f>
        <x:v>0.2902359178378378</x:v>
      </x:c>
      <x:c r="H53" s="66" t="n">
        <x:f>(MAX(((1)*((2*((('01_Inputs'!$G$65)*('01_Inputs'!$C$10)))*((('01_Inputs'!$B$48)*('01_Inputs'!$C$48)+('01_Inputs'!$C$48)*('01_Inputs'!$D$48)))+((('01_Inputs'!$G$65)*('01_Inputs'!$C$10)))*(('01_Inputs'!$C$39)*('01_Inputs'!$C$48)+('01_Inputs'!$C$40)*('01_Inputs'!$D$48))))/(('01_Inputs'!$C$33)*('02_HW'!$C$6))*('02_HW'!$C$10)),((1)*(((((((('01_Inputs'!$G$65)*('01_Inputs'!$C$10)))*('01_Inputs'!$B$48)*('01_Inputs'!$C$16)))+('01_Inputs'!$G$65)*((('01_Inputs'!$B$48)*('01_Inputs'!$C$48)+('01_Inputs'!$C$48)*('01_Inputs'!$D$48)))*('01_Inputs'!$C$37)*('01_Inputs'!$H$48)))+(0)+((((('01_Inputs'!$G$65)*('01_Inputs'!$C$10)))*('01_Inputs'!$D$48)*('01_Inputs'!$C$16))))/(('01_Inputs'!$C$34)*('02_HW'!$C$7))*('02_HW'!$C$10)))+(1)*('02_HW'!$C$9)*('02_HW'!$C$10))</x:f>
        <x:v>0.5804718356756756</x:v>
      </x:c>
    </x:row>
    <x:row r="54">
      <x:c r="A54" s="21" t="str">
        <x:v>loss</x:v>
      </x:c>
      <x:c r="B54" s="21" t="str">
        <x:v>M_k_prediction_forward</x:v>
      </x:c>
      <x:c r="C54" s="66" t="n">
        <x:f>(MAX(((1)*((2*((('01_Inputs'!$B$65)*('01_Inputs'!$C$10)))*((('01_Inputs'!$B$48)*('01_Inputs'!$C$48)+('01_Inputs'!$C$48)*('01_Inputs'!$D$48)))+((('01_Inputs'!$B$65)*('01_Inputs'!$C$10)))*(('01_Inputs'!$C$39)*('01_Inputs'!$C$48)+('01_Inputs'!$C$40)*('01_Inputs'!$D$48))))/(('01_Inputs'!$C$33)*('02_HW'!$C$6))*('02_HW'!$C$10)),((1)*(((((('01_Inputs'!$B$65)*('01_Inputs'!$C$10)))*('01_Inputs'!$B$48)*('01_Inputs'!$C$16)))+(0)+((((('01_Inputs'!$B$65)*('01_Inputs'!$C$10)))*('01_Inputs'!$D$48)*('01_Inputs'!$C$16))))/(('01_Inputs'!$C$34)*('02_HW'!$C$7))*('02_HW'!$C$10)))+(1)*('02_HW'!$C$9)*('02_HW'!$C$10))</x:f>
        <x:v>0.0000581873463372345</x:v>
      </x:c>
      <x:c r="D54" s="66" t="n">
        <x:f>(MAX(((1)*((2*((('01_Inputs'!$C$65)*('01_Inputs'!$C$10)))*((('01_Inputs'!$B$48)*('01_Inputs'!$C$48)+('01_Inputs'!$C$48)*('01_Inputs'!$D$48)))+((('01_Inputs'!$C$65)*('01_Inputs'!$C$10)))*(('01_Inputs'!$C$39)*('01_Inputs'!$C$48)+('01_Inputs'!$C$40)*('01_Inputs'!$D$48))))/(('01_Inputs'!$C$33)*('02_HW'!$C$6))*('02_HW'!$C$10)),((1)*(((((('01_Inputs'!$C$65)*('01_Inputs'!$C$10)))*('01_Inputs'!$B$48)*('01_Inputs'!$C$16)))+(0)+((((('01_Inputs'!$C$65)*('01_Inputs'!$C$10)))*('01_Inputs'!$D$48)*('01_Inputs'!$C$16))))/(('01_Inputs'!$C$34)*('02_HW'!$C$7))*('02_HW'!$C$10)))+(1)*('02_HW'!$C$9)*('02_HW'!$C$10))</x:f>
        <x:v>0.000116374692674469</x:v>
      </x:c>
      <x:c r="E54" s="66" t="n">
        <x:f>(MAX(((1)*((2*((('01_Inputs'!$D$65)*('01_Inputs'!$C$10)))*((('01_Inputs'!$B$48)*('01_Inputs'!$C$48)+('01_Inputs'!$C$48)*('01_Inputs'!$D$48)))+((('01_Inputs'!$D$65)*('01_Inputs'!$C$10)))*(('01_Inputs'!$C$39)*('01_Inputs'!$C$48)+('01_Inputs'!$C$40)*('01_Inputs'!$D$48))))/(('01_Inputs'!$C$33)*('02_HW'!$C$6))*('02_HW'!$C$10)),((1)*(((((('01_Inputs'!$D$65)*('01_Inputs'!$C$10)))*('01_Inputs'!$B$48)*('01_Inputs'!$C$16)))+(0)+((((('01_Inputs'!$D$65)*('01_Inputs'!$C$10)))*('01_Inputs'!$D$48)*('01_Inputs'!$C$16))))/(('01_Inputs'!$C$34)*('02_HW'!$C$7))*('02_HW'!$C$10)))+(1)*('02_HW'!$C$9)*('02_HW'!$C$10))</x:f>
        <x:v>0.000232749385348938</x:v>
      </x:c>
      <x:c r="F54" s="66" t="n">
        <x:f>(MAX(((1)*((2*((('01_Inputs'!$E$65)*('01_Inputs'!$C$10)))*((('01_Inputs'!$B$48)*('01_Inputs'!$C$48)+('01_Inputs'!$C$48)*('01_Inputs'!$D$48)))+((('01_Inputs'!$E$65)*('01_Inputs'!$C$10)))*(('01_Inputs'!$C$39)*('01_Inputs'!$C$48)+('01_Inputs'!$C$40)*('01_Inputs'!$D$48))))/(('01_Inputs'!$C$33)*('02_HW'!$C$6))*('02_HW'!$C$10)),((1)*(((((('01_Inputs'!$E$65)*('01_Inputs'!$C$10)))*('01_Inputs'!$B$48)*('01_Inputs'!$C$16)))+(0)+((((('01_Inputs'!$E$65)*('01_Inputs'!$C$10)))*('01_Inputs'!$D$48)*('01_Inputs'!$C$16))))/(('01_Inputs'!$C$34)*('02_HW'!$C$7))*('02_HW'!$C$10)))+(1)*('02_HW'!$C$9)*('02_HW'!$C$10))</x:f>
        <x:v>0.000465498770697876</x:v>
      </x:c>
      <x:c r="G54" s="66" t="n">
        <x:f>(MAX(((1)*((2*((('01_Inputs'!$F$65)*('01_Inputs'!$C$10)))*((('01_Inputs'!$B$48)*('01_Inputs'!$C$48)+('01_Inputs'!$C$48)*('01_Inputs'!$D$48)))+((('01_Inputs'!$F$65)*('01_Inputs'!$C$10)))*(('01_Inputs'!$C$39)*('01_Inputs'!$C$48)+('01_Inputs'!$C$40)*('01_Inputs'!$D$48))))/(('01_Inputs'!$C$33)*('02_HW'!$C$6))*('02_HW'!$C$10)),((1)*(((((('01_Inputs'!$F$65)*('01_Inputs'!$C$10)))*('01_Inputs'!$B$48)*('01_Inputs'!$C$16)))+(0)+((((('01_Inputs'!$F$65)*('01_Inputs'!$C$10)))*('01_Inputs'!$D$48)*('01_Inputs'!$C$16))))/(('01_Inputs'!$C$34)*('02_HW'!$C$7))*('02_HW'!$C$10)))+(1)*('02_HW'!$C$9)*('02_HW'!$C$10))</x:f>
        <x:v>0.000930997541395752</x:v>
      </x:c>
      <x:c r="H54" s="66" t="n">
        <x:f>(MAX(((1)*((2*((('01_Inputs'!$G$65)*('01_Inputs'!$C$10)))*((('01_Inputs'!$B$48)*('01_Inputs'!$C$48)+('01_Inputs'!$C$48)*('01_Inputs'!$D$48)))+((('01_Inputs'!$G$65)*('01_Inputs'!$C$10)))*(('01_Inputs'!$C$39)*('01_Inputs'!$C$48)+('01_Inputs'!$C$40)*('01_Inputs'!$D$48))))/(('01_Inputs'!$C$33)*('02_HW'!$C$6))*('02_HW'!$C$10)),((1)*(((((('01_Inputs'!$G$65)*('01_Inputs'!$C$10)))*('01_Inputs'!$B$48)*('01_Inputs'!$C$16)))+(0)+((((('01_Inputs'!$G$65)*('01_Inputs'!$C$10)))*('01_Inputs'!$D$48)*('01_Inputs'!$C$16))))/(('01_Inputs'!$C$34)*('02_HW'!$C$7))*('02_HW'!$C$10)))+(1)*('02_HW'!$C$9)*('02_HW'!$C$10))</x:f>
        <x:v>0.001861995082791504</x:v>
      </x:c>
    </x:row>
    <x:row r="55">
      <x:c r="A55" s="21" t="str">
        <x:v>loss</x:v>
      </x:c>
      <x:c r="B55" s="21" t="str">
        <x:v>M_v_target_forward</x:v>
      </x:c>
      <x:c r="C55" s="66" t="n">
        <x:f>(MAX(((1)*((2*((('01_Inputs'!$B$65)*('01_Inputs'!$C$10)))*((('01_Inputs'!$B$49)*('01_Inputs'!$C$49)+('01_Inputs'!$C$49)*('01_Inputs'!$D$49)))+((('01_Inputs'!$B$65)*('01_Inputs'!$C$10)))*(('01_Inputs'!$C$39)*('01_Inputs'!$C$49)+('01_Inputs'!$C$40)*('01_Inputs'!$D$49))))/(('01_Inputs'!$C$33)*('02_HW'!$C$6))*('02_HW'!$C$10)),((1)*(((((((('01_Inputs'!$B$65)*('01_Inputs'!$C$10)))*('01_Inputs'!$B$49)*('01_Inputs'!$C$16)))+('01_Inputs'!$B$65)*((('01_Inputs'!$B$49)*('01_Inputs'!$C$49)+('01_Inputs'!$C$49)*('01_Inputs'!$D$49)))*('01_Inputs'!$C$37)*('01_Inputs'!$H$49)))+(0)+((((('01_Inputs'!$B$65)*('01_Inputs'!$C$10)))*('01_Inputs'!$D$49)*('01_Inputs'!$C$16))))/(('01_Inputs'!$C$34)*('02_HW'!$C$7))*('02_HW'!$C$10)))+(1)*('02_HW'!$C$9)*('02_HW'!$C$10))</x:f>
        <x:v>0.018139744864864863</x:v>
      </x:c>
      <x:c r="D55" s="66" t="n">
        <x:f>(MAX(((1)*((2*((('01_Inputs'!$C$65)*('01_Inputs'!$C$10)))*((('01_Inputs'!$B$49)*('01_Inputs'!$C$49)+('01_Inputs'!$C$49)*('01_Inputs'!$D$49)))+((('01_Inputs'!$C$65)*('01_Inputs'!$C$10)))*(('01_Inputs'!$C$39)*('01_Inputs'!$C$49)+('01_Inputs'!$C$40)*('01_Inputs'!$D$49))))/(('01_Inputs'!$C$33)*('02_HW'!$C$6))*('02_HW'!$C$10)),((1)*(((((((('01_Inputs'!$C$65)*('01_Inputs'!$C$10)))*('01_Inputs'!$B$49)*('01_Inputs'!$C$16)))+('01_Inputs'!$C$65)*((('01_Inputs'!$B$49)*('01_Inputs'!$C$49)+('01_Inputs'!$C$49)*('01_Inputs'!$D$49)))*('01_Inputs'!$C$37)*('01_Inputs'!$H$49)))+(0)+((((('01_Inputs'!$C$65)*('01_Inputs'!$C$10)))*('01_Inputs'!$D$49)*('01_Inputs'!$C$16))))/(('01_Inputs'!$C$34)*('02_HW'!$C$7))*('02_HW'!$C$10)))+(1)*('02_HW'!$C$9)*('02_HW'!$C$10))</x:f>
        <x:v>0.036279489729729726</x:v>
      </x:c>
      <x:c r="E55" s="66" t="n">
        <x:f>(MAX(((1)*((2*((('01_Inputs'!$D$65)*('01_Inputs'!$C$10)))*((('01_Inputs'!$B$49)*('01_Inputs'!$C$49)+('01_Inputs'!$C$49)*('01_Inputs'!$D$49)))+((('01_Inputs'!$D$65)*('01_Inputs'!$C$10)))*(('01_Inputs'!$C$39)*('01_Inputs'!$C$49)+('01_Inputs'!$C$40)*('01_Inputs'!$D$49))))/(('01_Inputs'!$C$33)*('02_HW'!$C$6))*('02_HW'!$C$10)),((1)*(((((((('01_Inputs'!$D$65)*('01_Inputs'!$C$10)))*('01_Inputs'!$B$49)*('01_Inputs'!$C$16)))+('01_Inputs'!$D$65)*((('01_Inputs'!$B$49)*('01_Inputs'!$C$49)+('01_Inputs'!$C$49)*('01_Inputs'!$D$49)))*('01_Inputs'!$C$37)*('01_Inputs'!$H$49)))+(0)+((((('01_Inputs'!$D$65)*('01_Inputs'!$C$10)))*('01_Inputs'!$D$49)*('01_Inputs'!$C$16))))/(('01_Inputs'!$C$34)*('02_HW'!$C$7))*('02_HW'!$C$10)))+(1)*('02_HW'!$C$9)*('02_HW'!$C$10))</x:f>
        <x:v>0.07255897945945945</x:v>
      </x:c>
      <x:c r="F55" s="66" t="n">
        <x:f>(MAX(((1)*((2*((('01_Inputs'!$E$65)*('01_Inputs'!$C$10)))*((('01_Inputs'!$B$49)*('01_Inputs'!$C$49)+('01_Inputs'!$C$49)*('01_Inputs'!$D$49)))+((('01_Inputs'!$E$65)*('01_Inputs'!$C$10)))*(('01_Inputs'!$C$39)*('01_Inputs'!$C$49)+('01_Inputs'!$C$40)*('01_Inputs'!$D$49))))/(('01_Inputs'!$C$33)*('02_HW'!$C$6))*('02_HW'!$C$10)),((1)*(((((((('01_Inputs'!$E$65)*('01_Inputs'!$C$10)))*('01_Inputs'!$B$49)*('01_Inputs'!$C$16)))+('01_Inputs'!$E$65)*((('01_Inputs'!$B$49)*('01_Inputs'!$C$49)+('01_Inputs'!$C$49)*('01_Inputs'!$D$49)))*('01_Inputs'!$C$37)*('01_Inputs'!$H$49)))+(0)+((((('01_Inputs'!$E$65)*('01_Inputs'!$C$10)))*('01_Inputs'!$D$49)*('01_Inputs'!$C$16))))/(('01_Inputs'!$C$34)*('02_HW'!$C$7))*('02_HW'!$C$10)))+(1)*('02_HW'!$C$9)*('02_HW'!$C$10))</x:f>
        <x:v>0.1451179589189189</x:v>
      </x:c>
      <x:c r="G55" s="66" t="n">
        <x:f>(MAX(((1)*((2*((('01_Inputs'!$F$65)*('01_Inputs'!$C$10)))*((('01_Inputs'!$B$49)*('01_Inputs'!$C$49)+('01_Inputs'!$C$49)*('01_Inputs'!$D$49)))+((('01_Inputs'!$F$65)*('01_Inputs'!$C$10)))*(('01_Inputs'!$C$39)*('01_Inputs'!$C$49)+('01_Inputs'!$C$40)*('01_Inputs'!$D$49))))/(('01_Inputs'!$C$33)*('02_HW'!$C$6))*('02_HW'!$C$10)),((1)*(((((((('01_Inputs'!$F$65)*('01_Inputs'!$C$10)))*('01_Inputs'!$B$49)*('01_Inputs'!$C$16)))+('01_Inputs'!$F$65)*((('01_Inputs'!$B$49)*('01_Inputs'!$C$49)+('01_Inputs'!$C$49)*('01_Inputs'!$D$49)))*('01_Inputs'!$C$37)*('01_Inputs'!$H$49)))+(0)+((((('01_Inputs'!$F$65)*('01_Inputs'!$C$10)))*('01_Inputs'!$D$49)*('01_Inputs'!$C$16))))/(('01_Inputs'!$C$34)*('02_HW'!$C$7))*('02_HW'!$C$10)))+(1)*('02_HW'!$C$9)*('02_HW'!$C$10))</x:f>
        <x:v>0.2902359178378378</x:v>
      </x:c>
      <x:c r="H55" s="66" t="n">
        <x:f>(MAX(((1)*((2*((('01_Inputs'!$G$65)*('01_Inputs'!$C$10)))*((('01_Inputs'!$B$49)*('01_Inputs'!$C$49)+('01_Inputs'!$C$49)*('01_Inputs'!$D$49)))+((('01_Inputs'!$G$65)*('01_Inputs'!$C$10)))*(('01_Inputs'!$C$39)*('01_Inputs'!$C$49)+('01_Inputs'!$C$40)*('01_Inputs'!$D$49))))/(('01_Inputs'!$C$33)*('02_HW'!$C$6))*('02_HW'!$C$10)),((1)*(((((((('01_Inputs'!$G$65)*('01_Inputs'!$C$10)))*('01_Inputs'!$B$49)*('01_Inputs'!$C$16)))+('01_Inputs'!$G$65)*((('01_Inputs'!$B$49)*('01_Inputs'!$C$49)+('01_Inputs'!$C$49)*('01_Inputs'!$D$49)))*('01_Inputs'!$C$37)*('01_Inputs'!$H$49)))+(0)+((((('01_Inputs'!$G$65)*('01_Inputs'!$C$10)))*('01_Inputs'!$D$49)*('01_Inputs'!$C$16))))/(('01_Inputs'!$C$34)*('02_HW'!$C$7))*('02_HW'!$C$10)))+(1)*('02_HW'!$C$9)*('02_HW'!$C$10))</x:f>
        <x:v>0.5804718356756756</x:v>
      </x:c>
    </x:row>
    <x:row r="56">
      <x:c r="A56" s="21" t="str">
        <x:v>loss</x:v>
      </x:c>
      <x:c r="B56" s="21" t="str">
        <x:v>M_v_prediction_forward</x:v>
      </x:c>
      <x:c r="C56" s="66" t="n">
        <x:f>(MAX(((1)*((2*((('01_Inputs'!$B$65)*('01_Inputs'!$C$10)))*((('01_Inputs'!$B$49)*('01_Inputs'!$C$49)+('01_Inputs'!$C$49)*('01_Inputs'!$D$49)))+((('01_Inputs'!$B$65)*('01_Inputs'!$C$10)))*(('01_Inputs'!$C$39)*('01_Inputs'!$C$49)+('01_Inputs'!$C$40)*('01_Inputs'!$D$49))))/(('01_Inputs'!$C$33)*('02_HW'!$C$6))*('02_HW'!$C$10)),((1)*(((((('01_Inputs'!$B$65)*('01_Inputs'!$C$10)))*('01_Inputs'!$B$49)*('01_Inputs'!$C$16)))+(0)+((((('01_Inputs'!$B$65)*('01_Inputs'!$C$10)))*('01_Inputs'!$D$49)*('01_Inputs'!$C$16))))/(('01_Inputs'!$C$34)*('02_HW'!$C$7))*('02_HW'!$C$10)))+(1)*('02_HW'!$C$9)*('02_HW'!$C$10))</x:f>
        <x:v>0.0000581873463372345</x:v>
      </x:c>
      <x:c r="D56" s="66" t="n">
        <x:f>(MAX(((1)*((2*((('01_Inputs'!$C$65)*('01_Inputs'!$C$10)))*((('01_Inputs'!$B$49)*('01_Inputs'!$C$49)+('01_Inputs'!$C$49)*('01_Inputs'!$D$49)))+((('01_Inputs'!$C$65)*('01_Inputs'!$C$10)))*(('01_Inputs'!$C$39)*('01_Inputs'!$C$49)+('01_Inputs'!$C$40)*('01_Inputs'!$D$49))))/(('01_Inputs'!$C$33)*('02_HW'!$C$6))*('02_HW'!$C$10)),((1)*(((((('01_Inputs'!$C$65)*('01_Inputs'!$C$10)))*('01_Inputs'!$B$49)*('01_Inputs'!$C$16)))+(0)+((((('01_Inputs'!$C$65)*('01_Inputs'!$C$10)))*('01_Inputs'!$D$49)*('01_Inputs'!$C$16))))/(('01_Inputs'!$C$34)*('02_HW'!$C$7))*('02_HW'!$C$10)))+(1)*('02_HW'!$C$9)*('02_HW'!$C$10))</x:f>
        <x:v>0.000116374692674469</x:v>
      </x:c>
      <x:c r="E56" s="66" t="n">
        <x:f>(MAX(((1)*((2*((('01_Inputs'!$D$65)*('01_Inputs'!$C$10)))*((('01_Inputs'!$B$49)*('01_Inputs'!$C$49)+('01_Inputs'!$C$49)*('01_Inputs'!$D$49)))+((('01_Inputs'!$D$65)*('01_Inputs'!$C$10)))*(('01_Inputs'!$C$39)*('01_Inputs'!$C$49)+('01_Inputs'!$C$40)*('01_Inputs'!$D$49))))/(('01_Inputs'!$C$33)*('02_HW'!$C$6))*('02_HW'!$C$10)),((1)*(((((('01_Inputs'!$D$65)*('01_Inputs'!$C$10)))*('01_Inputs'!$B$49)*('01_Inputs'!$C$16)))+(0)+((((('01_Inputs'!$D$65)*('01_Inputs'!$C$10)))*('01_Inputs'!$D$49)*('01_Inputs'!$C$16))))/(('01_Inputs'!$C$34)*('02_HW'!$C$7))*('02_HW'!$C$10)))+(1)*('02_HW'!$C$9)*('02_HW'!$C$10))</x:f>
        <x:v>0.000232749385348938</x:v>
      </x:c>
      <x:c r="F56" s="66" t="n">
        <x:f>(MAX(((1)*((2*((('01_Inputs'!$E$65)*('01_Inputs'!$C$10)))*((('01_Inputs'!$B$49)*('01_Inputs'!$C$49)+('01_Inputs'!$C$49)*('01_Inputs'!$D$49)))+((('01_Inputs'!$E$65)*('01_Inputs'!$C$10)))*(('01_Inputs'!$C$39)*('01_Inputs'!$C$49)+('01_Inputs'!$C$40)*('01_Inputs'!$D$49))))/(('01_Inputs'!$C$33)*('02_HW'!$C$6))*('02_HW'!$C$10)),((1)*(((((('01_Inputs'!$E$65)*('01_Inputs'!$C$10)))*('01_Inputs'!$B$49)*('01_Inputs'!$C$16)))+(0)+((((('01_Inputs'!$E$65)*('01_Inputs'!$C$10)))*('01_Inputs'!$D$49)*('01_Inputs'!$C$16))))/(('01_Inputs'!$C$34)*('02_HW'!$C$7))*('02_HW'!$C$10)))+(1)*('02_HW'!$C$9)*('02_HW'!$C$10))</x:f>
        <x:v>0.000465498770697876</x:v>
      </x:c>
      <x:c r="G56" s="66" t="n">
        <x:f>(MAX(((1)*((2*((('01_Inputs'!$F$65)*('01_Inputs'!$C$10)))*((('01_Inputs'!$B$49)*('01_Inputs'!$C$49)+('01_Inputs'!$C$49)*('01_Inputs'!$D$49)))+((('01_Inputs'!$F$65)*('01_Inputs'!$C$10)))*(('01_Inputs'!$C$39)*('01_Inputs'!$C$49)+('01_Inputs'!$C$40)*('01_Inputs'!$D$49))))/(('01_Inputs'!$C$33)*('02_HW'!$C$6))*('02_HW'!$C$10)),((1)*(((((('01_Inputs'!$F$65)*('01_Inputs'!$C$10)))*('01_Inputs'!$B$49)*('01_Inputs'!$C$16)))+(0)+((((('01_Inputs'!$F$65)*('01_Inputs'!$C$10)))*('01_Inputs'!$D$49)*('01_Inputs'!$C$16))))/(('01_Inputs'!$C$34)*('02_HW'!$C$7))*('02_HW'!$C$10)))+(1)*('02_HW'!$C$9)*('02_HW'!$C$10))</x:f>
        <x:v>0.000930997541395752</x:v>
      </x:c>
      <x:c r="H56" s="66" t="n">
        <x:f>(MAX(((1)*((2*((('01_Inputs'!$G$65)*('01_Inputs'!$C$10)))*((('01_Inputs'!$B$49)*('01_Inputs'!$C$49)+('01_Inputs'!$C$49)*('01_Inputs'!$D$49)))+((('01_Inputs'!$G$65)*('01_Inputs'!$C$10)))*(('01_Inputs'!$C$39)*('01_Inputs'!$C$49)+('01_Inputs'!$C$40)*('01_Inputs'!$D$49))))/(('01_Inputs'!$C$33)*('02_HW'!$C$6))*('02_HW'!$C$10)),((1)*(((((('01_Inputs'!$G$65)*('01_Inputs'!$C$10)))*('01_Inputs'!$B$49)*('01_Inputs'!$C$16)))+(0)+((((('01_Inputs'!$G$65)*('01_Inputs'!$C$10)))*('01_Inputs'!$D$49)*('01_Inputs'!$C$16))))/(('01_Inputs'!$C$34)*('02_HW'!$C$7))*('02_HW'!$C$10)))+(1)*('02_HW'!$C$9)*('02_HW'!$C$10))</x:f>
        <x:v>0.001861995082791504</x:v>
      </x:c>
    </x:row>
    <x:row r="57">
      <x:c r="A57" s="21" t="str">
        <x:v>loss</x:v>
      </x:c>
      <x:c r="B57" s="21" t="str">
        <x:v>M_eta_target_forward</x:v>
      </x:c>
      <x:c r="C57" s="66" t="n">
        <x:f>(MAX(((1)*((2*((('01_Inputs'!$B$65)*('01_Inputs'!$C$10)))*((('01_Inputs'!$B$50)*('01_Inputs'!$C$50)+('01_Inputs'!$C$50)*('01_Inputs'!$D$50)))+((('01_Inputs'!$B$65)*('01_Inputs'!$C$10)))*(('01_Inputs'!$C$39)*('01_Inputs'!$C$50)+('01_Inputs'!$C$40)*('01_Inputs'!$D$50))))/(('01_Inputs'!$C$33)*('02_HW'!$C$6))*('02_HW'!$C$10)),((1)*(((((((('01_Inputs'!$B$65)*('01_Inputs'!$C$10)))*('01_Inputs'!$B$50)*('01_Inputs'!$C$16)))+('01_Inputs'!$B$65)*((('01_Inputs'!$B$50)*('01_Inputs'!$C$50)+('01_Inputs'!$C$50)*('01_Inputs'!$D$50)))*('01_Inputs'!$C$37)*('01_Inputs'!$H$50)))+(0)+((((('01_Inputs'!$B$65)*('01_Inputs'!$C$10)))*('01_Inputs'!$D$50)*('01_Inputs'!$C$16))))/(('01_Inputs'!$C$34)*('02_HW'!$C$7))*('02_HW'!$C$10)))+(1)*('02_HW'!$C$9)*('02_HW'!$C$10))</x:f>
        <x:v>0.009070979594594594</x:v>
      </x:c>
      <x:c r="D57" s="66" t="n">
        <x:f>(MAX(((1)*((2*((('01_Inputs'!$C$65)*('01_Inputs'!$C$10)))*((('01_Inputs'!$B$50)*('01_Inputs'!$C$50)+('01_Inputs'!$C$50)*('01_Inputs'!$D$50)))+((('01_Inputs'!$C$65)*('01_Inputs'!$C$10)))*(('01_Inputs'!$C$39)*('01_Inputs'!$C$50)+('01_Inputs'!$C$40)*('01_Inputs'!$D$50))))/(('01_Inputs'!$C$33)*('02_HW'!$C$6))*('02_HW'!$C$10)),((1)*(((((((('01_Inputs'!$C$65)*('01_Inputs'!$C$10)))*('01_Inputs'!$B$50)*('01_Inputs'!$C$16)))+('01_Inputs'!$C$65)*((('01_Inputs'!$B$50)*('01_Inputs'!$C$50)+('01_Inputs'!$C$50)*('01_Inputs'!$D$50)))*('01_Inputs'!$C$37)*('01_Inputs'!$H$50)))+(0)+((((('01_Inputs'!$C$65)*('01_Inputs'!$C$10)))*('01_Inputs'!$D$50)*('01_Inputs'!$C$16))))/(('01_Inputs'!$C$34)*('02_HW'!$C$7))*('02_HW'!$C$10)))+(1)*('02_HW'!$C$9)*('02_HW'!$C$10))</x:f>
        <x:v>0.018141959189189188</x:v>
      </x:c>
      <x:c r="E57" s="66" t="n">
        <x:f>(MAX(((1)*((2*((('01_Inputs'!$D$65)*('01_Inputs'!$C$10)))*((('01_Inputs'!$B$50)*('01_Inputs'!$C$50)+('01_Inputs'!$C$50)*('01_Inputs'!$D$50)))+((('01_Inputs'!$D$65)*('01_Inputs'!$C$10)))*(('01_Inputs'!$C$39)*('01_Inputs'!$C$50)+('01_Inputs'!$C$40)*('01_Inputs'!$D$50))))/(('01_Inputs'!$C$33)*('02_HW'!$C$6))*('02_HW'!$C$10)),((1)*(((((((('01_Inputs'!$D$65)*('01_Inputs'!$C$10)))*('01_Inputs'!$B$50)*('01_Inputs'!$C$16)))+('01_Inputs'!$D$65)*((('01_Inputs'!$B$50)*('01_Inputs'!$C$50)+('01_Inputs'!$C$50)*('01_Inputs'!$D$50)))*('01_Inputs'!$C$37)*('01_Inputs'!$H$50)))+(0)+((((('01_Inputs'!$D$65)*('01_Inputs'!$C$10)))*('01_Inputs'!$D$50)*('01_Inputs'!$C$16))))/(('01_Inputs'!$C$34)*('02_HW'!$C$7))*('02_HW'!$C$10)))+(1)*('02_HW'!$C$9)*('02_HW'!$C$10))</x:f>
        <x:v>0.036283918378378376</x:v>
      </x:c>
      <x:c r="F57" s="66" t="n">
        <x:f>(MAX(((1)*((2*((('01_Inputs'!$E$65)*('01_Inputs'!$C$10)))*((('01_Inputs'!$B$50)*('01_Inputs'!$C$50)+('01_Inputs'!$C$50)*('01_Inputs'!$D$50)))+((('01_Inputs'!$E$65)*('01_Inputs'!$C$10)))*(('01_Inputs'!$C$39)*('01_Inputs'!$C$50)+('01_Inputs'!$C$40)*('01_Inputs'!$D$50))))/(('01_Inputs'!$C$33)*('02_HW'!$C$6))*('02_HW'!$C$10)),((1)*(((((((('01_Inputs'!$E$65)*('01_Inputs'!$C$10)))*('01_Inputs'!$B$50)*('01_Inputs'!$C$16)))+('01_Inputs'!$E$65)*((('01_Inputs'!$B$50)*('01_Inputs'!$C$50)+('01_Inputs'!$C$50)*('01_Inputs'!$D$50)))*('01_Inputs'!$C$37)*('01_Inputs'!$H$50)))+(0)+((((('01_Inputs'!$E$65)*('01_Inputs'!$C$10)))*('01_Inputs'!$D$50)*('01_Inputs'!$C$16))))/(('01_Inputs'!$C$34)*('02_HW'!$C$7))*('02_HW'!$C$10)))+(1)*('02_HW'!$C$9)*('02_HW'!$C$10))</x:f>
        <x:v>0.07256783675675675</x:v>
      </x:c>
      <x:c r="G57" s="66" t="n">
        <x:f>(MAX(((1)*((2*((('01_Inputs'!$F$65)*('01_Inputs'!$C$10)))*((('01_Inputs'!$B$50)*('01_Inputs'!$C$50)+('01_Inputs'!$C$50)*('01_Inputs'!$D$50)))+((('01_Inputs'!$F$65)*('01_Inputs'!$C$10)))*(('01_Inputs'!$C$39)*('01_Inputs'!$C$50)+('01_Inputs'!$C$40)*('01_Inputs'!$D$50))))/(('01_Inputs'!$C$33)*('02_HW'!$C$6))*('02_HW'!$C$10)),((1)*(((((((('01_Inputs'!$F$65)*('01_Inputs'!$C$10)))*('01_Inputs'!$B$50)*('01_Inputs'!$C$16)))+('01_Inputs'!$F$65)*((('01_Inputs'!$B$50)*('01_Inputs'!$C$50)+('01_Inputs'!$C$50)*('01_Inputs'!$D$50)))*('01_Inputs'!$C$37)*('01_Inputs'!$H$50)))+(0)+((((('01_Inputs'!$F$65)*('01_Inputs'!$C$10)))*('01_Inputs'!$D$50)*('01_Inputs'!$C$16))))/(('01_Inputs'!$C$34)*('02_HW'!$C$7))*('02_HW'!$C$10)))+(1)*('02_HW'!$C$9)*('02_HW'!$C$10))</x:f>
        <x:v>0.1451356735135135</x:v>
      </x:c>
      <x:c r="H57" s="66" t="n">
        <x:f>(MAX(((1)*((2*((('01_Inputs'!$G$65)*('01_Inputs'!$C$10)))*((('01_Inputs'!$B$50)*('01_Inputs'!$C$50)+('01_Inputs'!$C$50)*('01_Inputs'!$D$50)))+((('01_Inputs'!$G$65)*('01_Inputs'!$C$10)))*(('01_Inputs'!$C$39)*('01_Inputs'!$C$50)+('01_Inputs'!$C$40)*('01_Inputs'!$D$50))))/(('01_Inputs'!$C$33)*('02_HW'!$C$6))*('02_HW'!$C$10)),((1)*(((((((('01_Inputs'!$G$65)*('01_Inputs'!$C$10)))*('01_Inputs'!$B$50)*('01_Inputs'!$C$16)))+('01_Inputs'!$G$65)*((('01_Inputs'!$B$50)*('01_Inputs'!$C$50)+('01_Inputs'!$C$50)*('01_Inputs'!$D$50)))*('01_Inputs'!$C$37)*('01_Inputs'!$H$50)))+(0)+((((('01_Inputs'!$G$65)*('01_Inputs'!$C$10)))*('01_Inputs'!$D$50)*('01_Inputs'!$C$16))))/(('01_Inputs'!$C$34)*('02_HW'!$C$7))*('02_HW'!$C$10)))+(1)*('02_HW'!$C$9)*('02_HW'!$C$10))</x:f>
        <x:v>0.290271347027027</x:v>
      </x:c>
    </x:row>
    <x:row r="58">
      <x:c r="A58" s="21" t="str">
        <x:v>loss</x:v>
      </x:c>
      <x:c r="B58" s="21" t="str">
        <x:v>M_eta_prediction_forward</x:v>
      </x:c>
      <x:c r="C58" s="66" t="n">
        <x:f>(MAX(((1)*((2*((('01_Inputs'!$B$65)*('01_Inputs'!$C$10)))*((('01_Inputs'!$B$50)*('01_Inputs'!$C$50)+('01_Inputs'!$C$50)*('01_Inputs'!$D$50)))+((('01_Inputs'!$B$65)*('01_Inputs'!$C$10)))*(('01_Inputs'!$C$39)*('01_Inputs'!$C$50)+('01_Inputs'!$C$40)*('01_Inputs'!$D$50))))/(('01_Inputs'!$C$33)*('02_HW'!$C$6))*('02_HW'!$C$10)),((1)*(((((('01_Inputs'!$B$65)*('01_Inputs'!$C$10)))*('01_Inputs'!$B$50)*('01_Inputs'!$C$16)))+(0)+((((('01_Inputs'!$B$65)*('01_Inputs'!$C$10)))*('01_Inputs'!$D$50)*('01_Inputs'!$C$16))))/(('01_Inputs'!$C$34)*('02_HW'!$C$7))*('02_HW'!$C$10)))+(1)*('02_HW'!$C$9)*('02_HW'!$C$10))</x:f>
        <x:v>0.00002909988751625488</x:v>
      </x:c>
      <x:c r="D58" s="66" t="n">
        <x:f>(MAX(((1)*((2*((('01_Inputs'!$C$65)*('01_Inputs'!$C$10)))*((('01_Inputs'!$B$50)*('01_Inputs'!$C$50)+('01_Inputs'!$C$50)*('01_Inputs'!$D$50)))+((('01_Inputs'!$C$65)*('01_Inputs'!$C$10)))*(('01_Inputs'!$C$39)*('01_Inputs'!$C$50)+('01_Inputs'!$C$40)*('01_Inputs'!$D$50))))/(('01_Inputs'!$C$33)*('02_HW'!$C$6))*('02_HW'!$C$10)),((1)*(((((('01_Inputs'!$C$65)*('01_Inputs'!$C$10)))*('01_Inputs'!$B$50)*('01_Inputs'!$C$16)))+(0)+((((('01_Inputs'!$C$65)*('01_Inputs'!$C$10)))*('01_Inputs'!$D$50)*('01_Inputs'!$C$16))))/(('01_Inputs'!$C$34)*('02_HW'!$C$7))*('02_HW'!$C$10)))+(1)*('02_HW'!$C$9)*('02_HW'!$C$10))</x:f>
        <x:v>0.00005819977503250976</x:v>
      </x:c>
      <x:c r="E58" s="66" t="n">
        <x:f>(MAX(((1)*((2*((('01_Inputs'!$D$65)*('01_Inputs'!$C$10)))*((('01_Inputs'!$B$50)*('01_Inputs'!$C$50)+('01_Inputs'!$C$50)*('01_Inputs'!$D$50)))+((('01_Inputs'!$D$65)*('01_Inputs'!$C$10)))*(('01_Inputs'!$C$39)*('01_Inputs'!$C$50)+('01_Inputs'!$C$40)*('01_Inputs'!$D$50))))/(('01_Inputs'!$C$33)*('02_HW'!$C$6))*('02_HW'!$C$10)),((1)*(((((('01_Inputs'!$D$65)*('01_Inputs'!$C$10)))*('01_Inputs'!$B$50)*('01_Inputs'!$C$16)))+(0)+((((('01_Inputs'!$D$65)*('01_Inputs'!$C$10)))*('01_Inputs'!$D$50)*('01_Inputs'!$C$16))))/(('01_Inputs'!$C$34)*('02_HW'!$C$7))*('02_HW'!$C$10)))+(1)*('02_HW'!$C$9)*('02_HW'!$C$10))</x:f>
        <x:v>0.00011639955006501952</x:v>
      </x:c>
      <x:c r="F58" s="66" t="n">
        <x:f>(MAX(((1)*((2*((('01_Inputs'!$E$65)*('01_Inputs'!$C$10)))*((('01_Inputs'!$B$50)*('01_Inputs'!$C$50)+('01_Inputs'!$C$50)*('01_Inputs'!$D$50)))+((('01_Inputs'!$E$65)*('01_Inputs'!$C$10)))*(('01_Inputs'!$C$39)*('01_Inputs'!$C$50)+('01_Inputs'!$C$40)*('01_Inputs'!$D$50))))/(('01_Inputs'!$C$33)*('02_HW'!$C$6))*('02_HW'!$C$10)),((1)*(((((('01_Inputs'!$E$65)*('01_Inputs'!$C$10)))*('01_Inputs'!$B$50)*('01_Inputs'!$C$16)))+(0)+((((('01_Inputs'!$E$65)*('01_Inputs'!$C$10)))*('01_Inputs'!$D$50)*('01_Inputs'!$C$16))))/(('01_Inputs'!$C$34)*('02_HW'!$C$7))*('02_HW'!$C$10)))+(1)*('02_HW'!$C$9)*('02_HW'!$C$10))</x:f>
        <x:v>0.00023279910013003903</x:v>
      </x:c>
      <x:c r="G58" s="66" t="n">
        <x:f>(MAX(((1)*((2*((('01_Inputs'!$F$65)*('01_Inputs'!$C$10)))*((('01_Inputs'!$B$50)*('01_Inputs'!$C$50)+('01_Inputs'!$C$50)*('01_Inputs'!$D$50)))+((('01_Inputs'!$F$65)*('01_Inputs'!$C$10)))*(('01_Inputs'!$C$39)*('01_Inputs'!$C$50)+('01_Inputs'!$C$40)*('01_Inputs'!$D$50))))/(('01_Inputs'!$C$33)*('02_HW'!$C$6))*('02_HW'!$C$10)),((1)*(((((('01_Inputs'!$F$65)*('01_Inputs'!$C$10)))*('01_Inputs'!$B$50)*('01_Inputs'!$C$16)))+(0)+((((('01_Inputs'!$F$65)*('01_Inputs'!$C$10)))*('01_Inputs'!$D$50)*('01_Inputs'!$C$16))))/(('01_Inputs'!$C$34)*('02_HW'!$C$7))*('02_HW'!$C$10)))+(1)*('02_HW'!$C$9)*('02_HW'!$C$10))</x:f>
        <x:v>0.00046559820026007806</x:v>
      </x:c>
      <x:c r="H58" s="66" t="n">
        <x:f>(MAX(((1)*((2*((('01_Inputs'!$G$65)*('01_Inputs'!$C$10)))*((('01_Inputs'!$B$50)*('01_Inputs'!$C$50)+('01_Inputs'!$C$50)*('01_Inputs'!$D$50)))+((('01_Inputs'!$G$65)*('01_Inputs'!$C$10)))*(('01_Inputs'!$C$39)*('01_Inputs'!$C$50)+('01_Inputs'!$C$40)*('01_Inputs'!$D$50))))/(('01_Inputs'!$C$33)*('02_HW'!$C$6))*('02_HW'!$C$10)),((1)*(((((('01_Inputs'!$G$65)*('01_Inputs'!$C$10)))*('01_Inputs'!$B$50)*('01_Inputs'!$C$16)))+(0)+((((('01_Inputs'!$G$65)*('01_Inputs'!$C$10)))*('01_Inputs'!$D$50)*('01_Inputs'!$C$16))))/(('01_Inputs'!$C$34)*('02_HW'!$C$7))*('02_HW'!$C$10)))+(1)*('02_HW'!$C$9)*('02_HW'!$C$10))</x:f>
        <x:v>0.0009311964005201561</x:v>
      </x:c>
    </x:row>
    <x:row r="59">
      <x:c r="A59" s="21" t="str">
        <x:v>loss</x:v>
      </x:c>
      <x:c r="B59" s="21" t="str">
        <x:v>M_alpha_target_forward</x:v>
      </x:c>
      <x:c r="C59" s="66" t="n">
        <x:f>(MAX(((1)*((2*((('01_Inputs'!$B$65)*('01_Inputs'!$C$10)))*((('01_Inputs'!$B$51)*('01_Inputs'!$C$51)+('01_Inputs'!$C$51)*('01_Inputs'!$D$51)))+((('01_Inputs'!$B$65)*('01_Inputs'!$C$10)))*(('01_Inputs'!$C$39)*('01_Inputs'!$C$51)+('01_Inputs'!$C$40)*('01_Inputs'!$D$51))))/(('01_Inputs'!$C$33)*('02_HW'!$C$6))*('02_HW'!$C$10)),((1)*(((((((('01_Inputs'!$B$65)*('01_Inputs'!$C$10)))*('01_Inputs'!$B$51)*('01_Inputs'!$C$16)))+('01_Inputs'!$B$65)*((('01_Inputs'!$B$51)*('01_Inputs'!$C$51)+('01_Inputs'!$C$51)*('01_Inputs'!$D$51)))*('01_Inputs'!$C$37)*('01_Inputs'!$H$51)))+(0)+((((('01_Inputs'!$B$65)*('01_Inputs'!$C$10)))*('01_Inputs'!$D$51)*('01_Inputs'!$C$16))))/(('01_Inputs'!$C$34)*('02_HW'!$C$7))*('02_HW'!$C$10)))+(1)*('02_HW'!$C$9)*('02_HW'!$C$10))</x:f>
        <x:v>0.009070979594594594</x:v>
      </x:c>
      <x:c r="D59" s="66" t="n">
        <x:f>(MAX(((1)*((2*((('01_Inputs'!$C$65)*('01_Inputs'!$C$10)))*((('01_Inputs'!$B$51)*('01_Inputs'!$C$51)+('01_Inputs'!$C$51)*('01_Inputs'!$D$51)))+((('01_Inputs'!$C$65)*('01_Inputs'!$C$10)))*(('01_Inputs'!$C$39)*('01_Inputs'!$C$51)+('01_Inputs'!$C$40)*('01_Inputs'!$D$51))))/(('01_Inputs'!$C$33)*('02_HW'!$C$6))*('02_HW'!$C$10)),((1)*(((((((('01_Inputs'!$C$65)*('01_Inputs'!$C$10)))*('01_Inputs'!$B$51)*('01_Inputs'!$C$16)))+('01_Inputs'!$C$65)*((('01_Inputs'!$B$51)*('01_Inputs'!$C$51)+('01_Inputs'!$C$51)*('01_Inputs'!$D$51)))*('01_Inputs'!$C$37)*('01_Inputs'!$H$51)))+(0)+((((('01_Inputs'!$C$65)*('01_Inputs'!$C$10)))*('01_Inputs'!$D$51)*('01_Inputs'!$C$16))))/(('01_Inputs'!$C$34)*('02_HW'!$C$7))*('02_HW'!$C$10)))+(1)*('02_HW'!$C$9)*('02_HW'!$C$10))</x:f>
        <x:v>0.018141959189189188</x:v>
      </x:c>
      <x:c r="E59" s="66" t="n">
        <x:f>(MAX(((1)*((2*((('01_Inputs'!$D$65)*('01_Inputs'!$C$10)))*((('01_Inputs'!$B$51)*('01_Inputs'!$C$51)+('01_Inputs'!$C$51)*('01_Inputs'!$D$51)))+((('01_Inputs'!$D$65)*('01_Inputs'!$C$10)))*(('01_Inputs'!$C$39)*('01_Inputs'!$C$51)+('01_Inputs'!$C$40)*('01_Inputs'!$D$51))))/(('01_Inputs'!$C$33)*('02_HW'!$C$6))*('02_HW'!$C$10)),((1)*(((((((('01_Inputs'!$D$65)*('01_Inputs'!$C$10)))*('01_Inputs'!$B$51)*('01_Inputs'!$C$16)))+('01_Inputs'!$D$65)*((('01_Inputs'!$B$51)*('01_Inputs'!$C$51)+('01_Inputs'!$C$51)*('01_Inputs'!$D$51)))*('01_Inputs'!$C$37)*('01_Inputs'!$H$51)))+(0)+((((('01_Inputs'!$D$65)*('01_Inputs'!$C$10)))*('01_Inputs'!$D$51)*('01_Inputs'!$C$16))))/(('01_Inputs'!$C$34)*('02_HW'!$C$7))*('02_HW'!$C$10)))+(1)*('02_HW'!$C$9)*('02_HW'!$C$10))</x:f>
        <x:v>0.036283918378378376</x:v>
      </x:c>
      <x:c r="F59" s="66" t="n">
        <x:f>(MAX(((1)*((2*((('01_Inputs'!$E$65)*('01_Inputs'!$C$10)))*((('01_Inputs'!$B$51)*('01_Inputs'!$C$51)+('01_Inputs'!$C$51)*('01_Inputs'!$D$51)))+((('01_Inputs'!$E$65)*('01_Inputs'!$C$10)))*(('01_Inputs'!$C$39)*('01_Inputs'!$C$51)+('01_Inputs'!$C$40)*('01_Inputs'!$D$51))))/(('01_Inputs'!$C$33)*('02_HW'!$C$6))*('02_HW'!$C$10)),((1)*(((((((('01_Inputs'!$E$65)*('01_Inputs'!$C$10)))*('01_Inputs'!$B$51)*('01_Inputs'!$C$16)))+('01_Inputs'!$E$65)*((('01_Inputs'!$B$51)*('01_Inputs'!$C$51)+('01_Inputs'!$C$51)*('01_Inputs'!$D$51)))*('01_Inputs'!$C$37)*('01_Inputs'!$H$51)))+(0)+((((('01_Inputs'!$E$65)*('01_Inputs'!$C$10)))*('01_Inputs'!$D$51)*('01_Inputs'!$C$16))))/(('01_Inputs'!$C$34)*('02_HW'!$C$7))*('02_HW'!$C$10)))+(1)*('02_HW'!$C$9)*('02_HW'!$C$10))</x:f>
        <x:v>0.07256783675675675</x:v>
      </x:c>
      <x:c r="G59" s="66" t="n">
        <x:f>(MAX(((1)*((2*((('01_Inputs'!$F$65)*('01_Inputs'!$C$10)))*((('01_Inputs'!$B$51)*('01_Inputs'!$C$51)+('01_Inputs'!$C$51)*('01_Inputs'!$D$51)))+((('01_Inputs'!$F$65)*('01_Inputs'!$C$10)))*(('01_Inputs'!$C$39)*('01_Inputs'!$C$51)+('01_Inputs'!$C$40)*('01_Inputs'!$D$51))))/(('01_Inputs'!$C$33)*('02_HW'!$C$6))*('02_HW'!$C$10)),((1)*(((((((('01_Inputs'!$F$65)*('01_Inputs'!$C$10)))*('01_Inputs'!$B$51)*('01_Inputs'!$C$16)))+('01_Inputs'!$F$65)*((('01_Inputs'!$B$51)*('01_Inputs'!$C$51)+('01_Inputs'!$C$51)*('01_Inputs'!$D$51)))*('01_Inputs'!$C$37)*('01_Inputs'!$H$51)))+(0)+((((('01_Inputs'!$F$65)*('01_Inputs'!$C$10)))*('01_Inputs'!$D$51)*('01_Inputs'!$C$16))))/(('01_Inputs'!$C$34)*('02_HW'!$C$7))*('02_HW'!$C$10)))+(1)*('02_HW'!$C$9)*('02_HW'!$C$10))</x:f>
        <x:v>0.1451356735135135</x:v>
      </x:c>
      <x:c r="H59" s="66" t="n">
        <x:f>(MAX(((1)*((2*((('01_Inputs'!$G$65)*('01_Inputs'!$C$10)))*((('01_Inputs'!$B$51)*('01_Inputs'!$C$51)+('01_Inputs'!$C$51)*('01_Inputs'!$D$51)))+((('01_Inputs'!$G$65)*('01_Inputs'!$C$10)))*(('01_Inputs'!$C$39)*('01_Inputs'!$C$51)+('01_Inputs'!$C$40)*('01_Inputs'!$D$51))))/(('01_Inputs'!$C$33)*('02_HW'!$C$6))*('02_HW'!$C$10)),((1)*(((((((('01_Inputs'!$G$65)*('01_Inputs'!$C$10)))*('01_Inputs'!$B$51)*('01_Inputs'!$C$16)))+('01_Inputs'!$G$65)*((('01_Inputs'!$B$51)*('01_Inputs'!$C$51)+('01_Inputs'!$C$51)*('01_Inputs'!$D$51)))*('01_Inputs'!$C$37)*('01_Inputs'!$H$51)))+(0)+((((('01_Inputs'!$G$65)*('01_Inputs'!$C$10)))*('01_Inputs'!$D$51)*('01_Inputs'!$C$16))))/(('01_Inputs'!$C$34)*('02_HW'!$C$7))*('02_HW'!$C$10)))+(1)*('02_HW'!$C$9)*('02_HW'!$C$10))</x:f>
        <x:v>0.290271347027027</x:v>
      </x:c>
    </x:row>
    <x:row r="60">
      <x:c r="A60" s="21" t="str">
        <x:v>loss</x:v>
      </x:c>
      <x:c r="B60" s="21" t="str">
        <x:v>M_alpha_prediction_forward</x:v>
      </x:c>
      <x:c r="C60" s="66" t="n">
        <x:f>(MAX(((1)*((2*((('01_Inputs'!$B$65)*('01_Inputs'!$C$10)))*((('01_Inputs'!$B$51)*('01_Inputs'!$C$51)+('01_Inputs'!$C$51)*('01_Inputs'!$D$51)))+((('01_Inputs'!$B$65)*('01_Inputs'!$C$10)))*(('01_Inputs'!$C$39)*('01_Inputs'!$C$51)+('01_Inputs'!$C$40)*('01_Inputs'!$D$51))))/(('01_Inputs'!$C$33)*('02_HW'!$C$6))*('02_HW'!$C$10)),((1)*(((((('01_Inputs'!$B$65)*('01_Inputs'!$C$10)))*('01_Inputs'!$B$51)*('01_Inputs'!$C$16)))+(0)+((((('01_Inputs'!$B$65)*('01_Inputs'!$C$10)))*('01_Inputs'!$D$51)*('01_Inputs'!$C$16))))/(('01_Inputs'!$C$34)*('02_HW'!$C$7))*('02_HW'!$C$10)))+(1)*('02_HW'!$C$9)*('02_HW'!$C$10))</x:f>
        <x:v>0.00002909988751625488</x:v>
      </x:c>
      <x:c r="D60" s="66" t="n">
        <x:f>(MAX(((1)*((2*((('01_Inputs'!$C$65)*('01_Inputs'!$C$10)))*((('01_Inputs'!$B$51)*('01_Inputs'!$C$51)+('01_Inputs'!$C$51)*('01_Inputs'!$D$51)))+((('01_Inputs'!$C$65)*('01_Inputs'!$C$10)))*(('01_Inputs'!$C$39)*('01_Inputs'!$C$51)+('01_Inputs'!$C$40)*('01_Inputs'!$D$51))))/(('01_Inputs'!$C$33)*('02_HW'!$C$6))*('02_HW'!$C$10)),((1)*(((((('01_Inputs'!$C$65)*('01_Inputs'!$C$10)))*('01_Inputs'!$B$51)*('01_Inputs'!$C$16)))+(0)+((((('01_Inputs'!$C$65)*('01_Inputs'!$C$10)))*('01_Inputs'!$D$51)*('01_Inputs'!$C$16))))/(('01_Inputs'!$C$34)*('02_HW'!$C$7))*('02_HW'!$C$10)))+(1)*('02_HW'!$C$9)*('02_HW'!$C$10))</x:f>
        <x:v>0.00005819977503250976</x:v>
      </x:c>
      <x:c r="E60" s="66" t="n">
        <x:f>(MAX(((1)*((2*((('01_Inputs'!$D$65)*('01_Inputs'!$C$10)))*((('01_Inputs'!$B$51)*('01_Inputs'!$C$51)+('01_Inputs'!$C$51)*('01_Inputs'!$D$51)))+((('01_Inputs'!$D$65)*('01_Inputs'!$C$10)))*(('01_Inputs'!$C$39)*('01_Inputs'!$C$51)+('01_Inputs'!$C$40)*('01_Inputs'!$D$51))))/(('01_Inputs'!$C$33)*('02_HW'!$C$6))*('02_HW'!$C$10)),((1)*(((((('01_Inputs'!$D$65)*('01_Inputs'!$C$10)))*('01_Inputs'!$B$51)*('01_Inputs'!$C$16)))+(0)+((((('01_Inputs'!$D$65)*('01_Inputs'!$C$10)))*('01_Inputs'!$D$51)*('01_Inputs'!$C$16))))/(('01_Inputs'!$C$34)*('02_HW'!$C$7))*('02_HW'!$C$10)))+(1)*('02_HW'!$C$9)*('02_HW'!$C$10))</x:f>
        <x:v>0.00011639955006501952</x:v>
      </x:c>
      <x:c r="F60" s="66" t="n">
        <x:f>(MAX(((1)*((2*((('01_Inputs'!$E$65)*('01_Inputs'!$C$10)))*((('01_Inputs'!$B$51)*('01_Inputs'!$C$51)+('01_Inputs'!$C$51)*('01_Inputs'!$D$51)))+((('01_Inputs'!$E$65)*('01_Inputs'!$C$10)))*(('01_Inputs'!$C$39)*('01_Inputs'!$C$51)+('01_Inputs'!$C$40)*('01_Inputs'!$D$51))))/(('01_Inputs'!$C$33)*('02_HW'!$C$6))*('02_HW'!$C$10)),((1)*(((((('01_Inputs'!$E$65)*('01_Inputs'!$C$10)))*('01_Inputs'!$B$51)*('01_Inputs'!$C$16)))+(0)+((((('01_Inputs'!$E$65)*('01_Inputs'!$C$10)))*('01_Inputs'!$D$51)*('01_Inputs'!$C$16))))/(('01_Inputs'!$C$34)*('02_HW'!$C$7))*('02_HW'!$C$10)))+(1)*('02_HW'!$C$9)*('02_HW'!$C$10))</x:f>
        <x:v>0.00023279910013003903</x:v>
      </x:c>
      <x:c r="G60" s="66" t="n">
        <x:f>(MAX(((1)*((2*((('01_Inputs'!$F$65)*('01_Inputs'!$C$10)))*((('01_Inputs'!$B$51)*('01_Inputs'!$C$51)+('01_Inputs'!$C$51)*('01_Inputs'!$D$51)))+((('01_Inputs'!$F$65)*('01_Inputs'!$C$10)))*(('01_Inputs'!$C$39)*('01_Inputs'!$C$51)+('01_Inputs'!$C$40)*('01_Inputs'!$D$51))))/(('01_Inputs'!$C$33)*('02_HW'!$C$6))*('02_HW'!$C$10)),((1)*(((((('01_Inputs'!$F$65)*('01_Inputs'!$C$10)))*('01_Inputs'!$B$51)*('01_Inputs'!$C$16)))+(0)+((((('01_Inputs'!$F$65)*('01_Inputs'!$C$10)))*('01_Inputs'!$D$51)*('01_Inputs'!$C$16))))/(('01_Inputs'!$C$34)*('02_HW'!$C$7))*('02_HW'!$C$10)))+(1)*('02_HW'!$C$9)*('02_HW'!$C$10))</x:f>
        <x:v>0.00046559820026007806</x:v>
      </x:c>
      <x:c r="H60" s="66" t="n">
        <x:f>(MAX(((1)*((2*((('01_Inputs'!$G$65)*('01_Inputs'!$C$10)))*((('01_Inputs'!$B$51)*('01_Inputs'!$C$51)+('01_Inputs'!$C$51)*('01_Inputs'!$D$51)))+((('01_Inputs'!$G$65)*('01_Inputs'!$C$10)))*(('01_Inputs'!$C$39)*('01_Inputs'!$C$51)+('01_Inputs'!$C$40)*('01_Inputs'!$D$51))))/(('01_Inputs'!$C$33)*('02_HW'!$C$6))*('02_HW'!$C$10)),((1)*(((((('01_Inputs'!$G$65)*('01_Inputs'!$C$10)))*('01_Inputs'!$B$51)*('01_Inputs'!$C$16)))+(0)+((((('01_Inputs'!$G$65)*('01_Inputs'!$C$10)))*('01_Inputs'!$D$51)*('01_Inputs'!$C$16))))/(('01_Inputs'!$C$34)*('02_HW'!$C$7))*('02_HW'!$C$10)))+(1)*('02_HW'!$C$9)*('02_HW'!$C$10))</x:f>
        <x:v>0.0009311964005201561</x:v>
      </x:c>
    </x:row>
    <x:row r="61">
      <x:c r="A61" s="21" t="str">
        <x:v>loss</x:v>
      </x:c>
      <x:c r="B61" s="21" t="str">
        <x:v>M_mem_target_forward</x:v>
      </x:c>
      <x:c r="C61" s="66" t="n">
        <x:f>(MAX(((1)*((2*((('01_Inputs'!$B$65)*('01_Inputs'!$C$10)))*((('01_Inputs'!$B$52)*('01_Inputs'!$C$52)+('01_Inputs'!$C$52)*('01_Inputs'!$D$52)))+((('01_Inputs'!$B$65)*('01_Inputs'!$C$10)))*(('01_Inputs'!$C$39)*('01_Inputs'!$C$52)+('01_Inputs'!$C$40)*('01_Inputs'!$D$52))))/(('01_Inputs'!$C$33)*('02_HW'!$C$6))*('02_HW'!$C$10)),((1)*(((((((('01_Inputs'!$B$65)*('01_Inputs'!$C$10)))*('01_Inputs'!$B$52)*('01_Inputs'!$C$16)))+('01_Inputs'!$B$65)*((('01_Inputs'!$B$52)*('01_Inputs'!$C$52)+('01_Inputs'!$C$52)*('01_Inputs'!$D$52)))*('01_Inputs'!$C$37)*('01_Inputs'!$H$52)))+(0)+((((('01_Inputs'!$B$65)*('01_Inputs'!$C$10)))*('01_Inputs'!$D$52)*('01_Inputs'!$C$16))))/(('01_Inputs'!$C$34)*('02_HW'!$C$7))*('02_HW'!$C$10)))+(1)*('02_HW'!$C$9)*('02_HW'!$C$10))</x:f>
        <x:v>0.018139744864864863</x:v>
      </x:c>
      <x:c r="D61" s="66" t="n">
        <x:f>(MAX(((1)*((2*((('01_Inputs'!$C$65)*('01_Inputs'!$C$10)))*((('01_Inputs'!$B$52)*('01_Inputs'!$C$52)+('01_Inputs'!$C$52)*('01_Inputs'!$D$52)))+((('01_Inputs'!$C$65)*('01_Inputs'!$C$10)))*(('01_Inputs'!$C$39)*('01_Inputs'!$C$52)+('01_Inputs'!$C$40)*('01_Inputs'!$D$52))))/(('01_Inputs'!$C$33)*('02_HW'!$C$6))*('02_HW'!$C$10)),((1)*(((((((('01_Inputs'!$C$65)*('01_Inputs'!$C$10)))*('01_Inputs'!$B$52)*('01_Inputs'!$C$16)))+('01_Inputs'!$C$65)*((('01_Inputs'!$B$52)*('01_Inputs'!$C$52)+('01_Inputs'!$C$52)*('01_Inputs'!$D$52)))*('01_Inputs'!$C$37)*('01_Inputs'!$H$52)))+(0)+((((('01_Inputs'!$C$65)*('01_Inputs'!$C$10)))*('01_Inputs'!$D$52)*('01_Inputs'!$C$16))))/(('01_Inputs'!$C$34)*('02_HW'!$C$7))*('02_HW'!$C$10)))+(1)*('02_HW'!$C$9)*('02_HW'!$C$10))</x:f>
        <x:v>0.036279489729729726</x:v>
      </x:c>
      <x:c r="E61" s="66" t="n">
        <x:f>(MAX(((1)*((2*((('01_Inputs'!$D$65)*('01_Inputs'!$C$10)))*((('01_Inputs'!$B$52)*('01_Inputs'!$C$52)+('01_Inputs'!$C$52)*('01_Inputs'!$D$52)))+((('01_Inputs'!$D$65)*('01_Inputs'!$C$10)))*(('01_Inputs'!$C$39)*('01_Inputs'!$C$52)+('01_Inputs'!$C$40)*('01_Inputs'!$D$52))))/(('01_Inputs'!$C$33)*('02_HW'!$C$6))*('02_HW'!$C$10)),((1)*(((((((('01_Inputs'!$D$65)*('01_Inputs'!$C$10)))*('01_Inputs'!$B$52)*('01_Inputs'!$C$16)))+('01_Inputs'!$D$65)*((('01_Inputs'!$B$52)*('01_Inputs'!$C$52)+('01_Inputs'!$C$52)*('01_Inputs'!$D$52)))*('01_Inputs'!$C$37)*('01_Inputs'!$H$52)))+(0)+((((('01_Inputs'!$D$65)*('01_Inputs'!$C$10)))*('01_Inputs'!$D$52)*('01_Inputs'!$C$16))))/(('01_Inputs'!$C$34)*('02_HW'!$C$7))*('02_HW'!$C$10)))+(1)*('02_HW'!$C$9)*('02_HW'!$C$10))</x:f>
        <x:v>0.07255897945945945</x:v>
      </x:c>
      <x:c r="F61" s="66" t="n">
        <x:f>(MAX(((1)*((2*((('01_Inputs'!$E$65)*('01_Inputs'!$C$10)))*((('01_Inputs'!$B$52)*('01_Inputs'!$C$52)+('01_Inputs'!$C$52)*('01_Inputs'!$D$52)))+((('01_Inputs'!$E$65)*('01_Inputs'!$C$10)))*(('01_Inputs'!$C$39)*('01_Inputs'!$C$52)+('01_Inputs'!$C$40)*('01_Inputs'!$D$52))))/(('01_Inputs'!$C$33)*('02_HW'!$C$6))*('02_HW'!$C$10)),((1)*(((((((('01_Inputs'!$E$65)*('01_Inputs'!$C$10)))*('01_Inputs'!$B$52)*('01_Inputs'!$C$16)))+('01_Inputs'!$E$65)*((('01_Inputs'!$B$52)*('01_Inputs'!$C$52)+('01_Inputs'!$C$52)*('01_Inputs'!$D$52)))*('01_Inputs'!$C$37)*('01_Inputs'!$H$52)))+(0)+((((('01_Inputs'!$E$65)*('01_Inputs'!$C$10)))*('01_Inputs'!$D$52)*('01_Inputs'!$C$16))))/(('01_Inputs'!$C$34)*('02_HW'!$C$7))*('02_HW'!$C$10)))+(1)*('02_HW'!$C$9)*('02_HW'!$C$10))</x:f>
        <x:v>0.1451179589189189</x:v>
      </x:c>
      <x:c r="G61" s="66" t="n">
        <x:f>(MAX(((1)*((2*((('01_Inputs'!$F$65)*('01_Inputs'!$C$10)))*((('01_Inputs'!$B$52)*('01_Inputs'!$C$52)+('01_Inputs'!$C$52)*('01_Inputs'!$D$52)))+((('01_Inputs'!$F$65)*('01_Inputs'!$C$10)))*(('01_Inputs'!$C$39)*('01_Inputs'!$C$52)+('01_Inputs'!$C$40)*('01_Inputs'!$D$52))))/(('01_Inputs'!$C$33)*('02_HW'!$C$6))*('02_HW'!$C$10)),((1)*(((((((('01_Inputs'!$F$65)*('01_Inputs'!$C$10)))*('01_Inputs'!$B$52)*('01_Inputs'!$C$16)))+('01_Inputs'!$F$65)*((('01_Inputs'!$B$52)*('01_Inputs'!$C$52)+('01_Inputs'!$C$52)*('01_Inputs'!$D$52)))*('01_Inputs'!$C$37)*('01_Inputs'!$H$52)))+(0)+((((('01_Inputs'!$F$65)*('01_Inputs'!$C$10)))*('01_Inputs'!$D$52)*('01_Inputs'!$C$16))))/(('01_Inputs'!$C$34)*('02_HW'!$C$7))*('02_HW'!$C$10)))+(1)*('02_HW'!$C$9)*('02_HW'!$C$10))</x:f>
        <x:v>0.2902359178378378</x:v>
      </x:c>
      <x:c r="H61" s="66" t="n">
        <x:f>(MAX(((1)*((2*((('01_Inputs'!$G$65)*('01_Inputs'!$C$10)))*((('01_Inputs'!$B$52)*('01_Inputs'!$C$52)+('01_Inputs'!$C$52)*('01_Inputs'!$D$52)))+((('01_Inputs'!$G$65)*('01_Inputs'!$C$10)))*(('01_Inputs'!$C$39)*('01_Inputs'!$C$52)+('01_Inputs'!$C$40)*('01_Inputs'!$D$52))))/(('01_Inputs'!$C$33)*('02_HW'!$C$6))*('02_HW'!$C$10)),((1)*(((((((('01_Inputs'!$G$65)*('01_Inputs'!$C$10)))*('01_Inputs'!$B$52)*('01_Inputs'!$C$16)))+('01_Inputs'!$G$65)*((('01_Inputs'!$B$52)*('01_Inputs'!$C$52)+('01_Inputs'!$C$52)*('01_Inputs'!$D$52)))*('01_Inputs'!$C$37)*('01_Inputs'!$H$52)))+(0)+((((('01_Inputs'!$G$65)*('01_Inputs'!$C$10)))*('01_Inputs'!$D$52)*('01_Inputs'!$C$16))))/(('01_Inputs'!$C$34)*('02_HW'!$C$7))*('02_HW'!$C$10)))+(1)*('02_HW'!$C$9)*('02_HW'!$C$10))</x:f>
        <x:v>0.5804718356756756</x:v>
      </x:c>
    </x:row>
    <x:row r="62">
      <x:c r="A62" s="21" t="str">
        <x:v>loss</x:v>
      </x:c>
      <x:c r="B62" s="21" t="str">
        <x:v>M_mem_prediction_forward</x:v>
      </x:c>
      <x:c r="C62" s="66" t="n">
        <x:f>(MAX(((1)*((2*((('01_Inputs'!$B$65)*('01_Inputs'!$C$10)))*((('01_Inputs'!$B$52)*('01_Inputs'!$C$52)+('01_Inputs'!$C$52)*('01_Inputs'!$D$52)))+((('01_Inputs'!$B$65)*('01_Inputs'!$C$10)))*(('01_Inputs'!$C$39)*('01_Inputs'!$C$52)+('01_Inputs'!$C$40)*('01_Inputs'!$D$52))))/(('01_Inputs'!$C$33)*('02_HW'!$C$6))*('02_HW'!$C$10)),((1)*(((((('01_Inputs'!$B$65)*('01_Inputs'!$C$10)))*('01_Inputs'!$B$52)*('01_Inputs'!$C$16)))+(0)+((((('01_Inputs'!$B$65)*('01_Inputs'!$C$10)))*('01_Inputs'!$D$52)*('01_Inputs'!$C$16))))/(('01_Inputs'!$C$34)*('02_HW'!$C$7))*('02_HW'!$C$10)))+(1)*('02_HW'!$C$9)*('02_HW'!$C$10))</x:f>
        <x:v>0.0000581873463372345</x:v>
      </x:c>
      <x:c r="D62" s="66" t="n">
        <x:f>(MAX(((1)*((2*((('01_Inputs'!$C$65)*('01_Inputs'!$C$10)))*((('01_Inputs'!$B$52)*('01_Inputs'!$C$52)+('01_Inputs'!$C$52)*('01_Inputs'!$D$52)))+((('01_Inputs'!$C$65)*('01_Inputs'!$C$10)))*(('01_Inputs'!$C$39)*('01_Inputs'!$C$52)+('01_Inputs'!$C$40)*('01_Inputs'!$D$52))))/(('01_Inputs'!$C$33)*('02_HW'!$C$6))*('02_HW'!$C$10)),((1)*(((((('01_Inputs'!$C$65)*('01_Inputs'!$C$10)))*('01_Inputs'!$B$52)*('01_Inputs'!$C$16)))+(0)+((((('01_Inputs'!$C$65)*('01_Inputs'!$C$10)))*('01_Inputs'!$D$52)*('01_Inputs'!$C$16))))/(('01_Inputs'!$C$34)*('02_HW'!$C$7))*('02_HW'!$C$10)))+(1)*('02_HW'!$C$9)*('02_HW'!$C$10))</x:f>
        <x:v>0.000116374692674469</x:v>
      </x:c>
      <x:c r="E62" s="66" t="n">
        <x:f>(MAX(((1)*((2*((('01_Inputs'!$D$65)*('01_Inputs'!$C$10)))*((('01_Inputs'!$B$52)*('01_Inputs'!$C$52)+('01_Inputs'!$C$52)*('01_Inputs'!$D$52)))+((('01_Inputs'!$D$65)*('01_Inputs'!$C$10)))*(('01_Inputs'!$C$39)*('01_Inputs'!$C$52)+('01_Inputs'!$C$40)*('01_Inputs'!$D$52))))/(('01_Inputs'!$C$33)*('02_HW'!$C$6))*('02_HW'!$C$10)),((1)*(((((('01_Inputs'!$D$65)*('01_Inputs'!$C$10)))*('01_Inputs'!$B$52)*('01_Inputs'!$C$16)))+(0)+((((('01_Inputs'!$D$65)*('01_Inputs'!$C$10)))*('01_Inputs'!$D$52)*('01_Inputs'!$C$16))))/(('01_Inputs'!$C$34)*('02_HW'!$C$7))*('02_HW'!$C$10)))+(1)*('02_HW'!$C$9)*('02_HW'!$C$10))</x:f>
        <x:v>0.000232749385348938</x:v>
      </x:c>
      <x:c r="F62" s="66" t="n">
        <x:f>(MAX(((1)*((2*((('01_Inputs'!$E$65)*('01_Inputs'!$C$10)))*((('01_Inputs'!$B$52)*('01_Inputs'!$C$52)+('01_Inputs'!$C$52)*('01_Inputs'!$D$52)))+((('01_Inputs'!$E$65)*('01_Inputs'!$C$10)))*(('01_Inputs'!$C$39)*('01_Inputs'!$C$52)+('01_Inputs'!$C$40)*('01_Inputs'!$D$52))))/(('01_Inputs'!$C$33)*('02_HW'!$C$6))*('02_HW'!$C$10)),((1)*(((((('01_Inputs'!$E$65)*('01_Inputs'!$C$10)))*('01_Inputs'!$B$52)*('01_Inputs'!$C$16)))+(0)+((((('01_Inputs'!$E$65)*('01_Inputs'!$C$10)))*('01_Inputs'!$D$52)*('01_Inputs'!$C$16))))/(('01_Inputs'!$C$34)*('02_HW'!$C$7))*('02_HW'!$C$10)))+(1)*('02_HW'!$C$9)*('02_HW'!$C$10))</x:f>
        <x:v>0.000465498770697876</x:v>
      </x:c>
      <x:c r="G62" s="66" t="n">
        <x:f>(MAX(((1)*((2*((('01_Inputs'!$F$65)*('01_Inputs'!$C$10)))*((('01_Inputs'!$B$52)*('01_Inputs'!$C$52)+('01_Inputs'!$C$52)*('01_Inputs'!$D$52)))+((('01_Inputs'!$F$65)*('01_Inputs'!$C$10)))*(('01_Inputs'!$C$39)*('01_Inputs'!$C$52)+('01_Inputs'!$C$40)*('01_Inputs'!$D$52))))/(('01_Inputs'!$C$33)*('02_HW'!$C$6))*('02_HW'!$C$10)),((1)*(((((('01_Inputs'!$F$65)*('01_Inputs'!$C$10)))*('01_Inputs'!$B$52)*('01_Inputs'!$C$16)))+(0)+((((('01_Inputs'!$F$65)*('01_Inputs'!$C$10)))*('01_Inputs'!$D$52)*('01_Inputs'!$C$16))))/(('01_Inputs'!$C$34)*('02_HW'!$C$7))*('02_HW'!$C$10)))+(1)*('02_HW'!$C$9)*('02_HW'!$C$10))</x:f>
        <x:v>0.000930997541395752</x:v>
      </x:c>
      <x:c r="H62" s="66" t="n">
        <x:f>(MAX(((1)*((2*((('01_Inputs'!$G$65)*('01_Inputs'!$C$10)))*((('01_Inputs'!$B$52)*('01_Inputs'!$C$52)+('01_Inputs'!$C$52)*('01_Inputs'!$D$52)))+((('01_Inputs'!$G$65)*('01_Inputs'!$C$10)))*(('01_Inputs'!$C$39)*('01_Inputs'!$C$52)+('01_Inputs'!$C$40)*('01_Inputs'!$D$52))))/(('01_Inputs'!$C$33)*('02_HW'!$C$6))*('02_HW'!$C$10)),((1)*(((((('01_Inputs'!$G$65)*('01_Inputs'!$C$10)))*('01_Inputs'!$B$52)*('01_Inputs'!$C$16)))+(0)+((((('01_Inputs'!$G$65)*('01_Inputs'!$C$10)))*('01_Inputs'!$D$52)*('01_Inputs'!$C$16))))/(('01_Inputs'!$C$34)*('02_HW'!$C$7))*('02_HW'!$C$10)))+(1)*('02_HW'!$C$9)*('02_HW'!$C$10))</x:f>
        <x:v>0.001861995082791504</x:v>
      </x:c>
    </x:row>
    <x:row r="63">
      <x:c r="A63" s="21" t="str">
        <x:v>backward_update</x:v>
      </x:c>
      <x:c r="B63" s="21" t="str">
        <x:v>M_k_weight_backward</x:v>
      </x:c>
      <x:c r="C63" s="66" t="n">
        <x:f>(MAX(((1)*((2*((('01_Inputs'!$B$65)*('01_Inputs'!$C$10)))*('01_Inputs'!$B$48)*('01_Inputs'!$C$48)+4*((('01_Inputs'!$B$65)*('01_Inputs'!$C$10)))*('01_Inputs'!$C$48)*('01_Inputs'!$D$48)))/(('01_Inputs'!$C$33)*('02_HW'!$C$6))*('02_HW'!$C$10)),((1)*(((((('01_Inputs'!$B$65)*('01_Inputs'!$C$10)))*(('01_Inputs'!$B$48)+('01_Inputs'!$C$48)+('01_Inputs'!$D$48))*('01_Inputs'!$C$16)))+(0)+((('01_Inputs'!$B$65)*((('01_Inputs'!$B$48)*('01_Inputs'!$C$48)+('01_Inputs'!$C$48)*('01_Inputs'!$D$48)))*('01_Inputs'!$C$38))))/(('01_Inputs'!$C$34)*('02_HW'!$C$7))*('02_HW'!$C$10)))+(1)*('02_HW'!$C$9)*('02_HW'!$C$10))</x:f>
        <x:v>0.07255344432432433</x:v>
      </x:c>
      <x:c r="D63" s="66" t="n">
        <x:f>(MAX(((1)*((2*((('01_Inputs'!$C$65)*('01_Inputs'!$C$10)))*('01_Inputs'!$B$48)*('01_Inputs'!$C$48)+4*((('01_Inputs'!$C$65)*('01_Inputs'!$C$10)))*('01_Inputs'!$C$48)*('01_Inputs'!$D$48)))/(('01_Inputs'!$C$33)*('02_HW'!$C$6))*('02_HW'!$C$10)),((1)*(((((('01_Inputs'!$C$65)*('01_Inputs'!$C$10)))*(('01_Inputs'!$B$48)+('01_Inputs'!$C$48)+('01_Inputs'!$D$48))*('01_Inputs'!$C$16)))+(0)+((('01_Inputs'!$C$65)*((('01_Inputs'!$B$48)*('01_Inputs'!$C$48)+('01_Inputs'!$C$48)*('01_Inputs'!$D$48)))*('01_Inputs'!$C$38))))/(('01_Inputs'!$C$34)*('02_HW'!$C$7))*('02_HW'!$C$10)))+(1)*('02_HW'!$C$9)*('02_HW'!$C$10))</x:f>
        <x:v>0.14510688864864865</x:v>
      </x:c>
      <x:c r="E63" s="66" t="n">
        <x:f>(MAX(((1)*((2*((('01_Inputs'!$D$65)*('01_Inputs'!$C$10)))*('01_Inputs'!$B$48)*('01_Inputs'!$C$48)+4*((('01_Inputs'!$D$65)*('01_Inputs'!$C$10)))*('01_Inputs'!$C$48)*('01_Inputs'!$D$48)))/(('01_Inputs'!$C$33)*('02_HW'!$C$6))*('02_HW'!$C$10)),((1)*(((((('01_Inputs'!$D$65)*('01_Inputs'!$C$10)))*(('01_Inputs'!$B$48)+('01_Inputs'!$C$48)+('01_Inputs'!$D$48))*('01_Inputs'!$C$16)))+(0)+((('01_Inputs'!$D$65)*((('01_Inputs'!$B$48)*('01_Inputs'!$C$48)+('01_Inputs'!$C$48)*('01_Inputs'!$D$48)))*('01_Inputs'!$C$38))))/(('01_Inputs'!$C$34)*('02_HW'!$C$7))*('02_HW'!$C$10)))+(1)*('02_HW'!$C$9)*('02_HW'!$C$10))</x:f>
        <x:v>0.2902137772972973</x:v>
      </x:c>
      <x:c r="F63" s="66" t="n">
        <x:f>(MAX(((1)*((2*((('01_Inputs'!$E$65)*('01_Inputs'!$C$10)))*('01_Inputs'!$B$48)*('01_Inputs'!$C$48)+4*((('01_Inputs'!$E$65)*('01_Inputs'!$C$10)))*('01_Inputs'!$C$48)*('01_Inputs'!$D$48)))/(('01_Inputs'!$C$33)*('02_HW'!$C$6))*('02_HW'!$C$10)),((1)*(((((('01_Inputs'!$E$65)*('01_Inputs'!$C$10)))*(('01_Inputs'!$B$48)+('01_Inputs'!$C$48)+('01_Inputs'!$D$48))*('01_Inputs'!$C$16)))+(0)+((('01_Inputs'!$E$65)*((('01_Inputs'!$B$48)*('01_Inputs'!$C$48)+('01_Inputs'!$C$48)*('01_Inputs'!$D$48)))*('01_Inputs'!$C$38))))/(('01_Inputs'!$C$34)*('02_HW'!$C$7))*('02_HW'!$C$10)))+(1)*('02_HW'!$C$9)*('02_HW'!$C$10))</x:f>
        <x:v>0.5804275545945946</x:v>
      </x:c>
      <x:c r="G63" s="66" t="n">
        <x:f>(MAX(((1)*((2*((('01_Inputs'!$F$65)*('01_Inputs'!$C$10)))*('01_Inputs'!$B$48)*('01_Inputs'!$C$48)+4*((('01_Inputs'!$F$65)*('01_Inputs'!$C$10)))*('01_Inputs'!$C$48)*('01_Inputs'!$D$48)))/(('01_Inputs'!$C$33)*('02_HW'!$C$6))*('02_HW'!$C$10)),((1)*(((((('01_Inputs'!$F$65)*('01_Inputs'!$C$10)))*(('01_Inputs'!$B$48)+('01_Inputs'!$C$48)+('01_Inputs'!$D$48))*('01_Inputs'!$C$16)))+(0)+((('01_Inputs'!$F$65)*((('01_Inputs'!$B$48)*('01_Inputs'!$C$48)+('01_Inputs'!$C$48)*('01_Inputs'!$D$48)))*('01_Inputs'!$C$38))))/(('01_Inputs'!$C$34)*('02_HW'!$C$7))*('02_HW'!$C$10)))+(1)*('02_HW'!$C$9)*('02_HW'!$C$10))</x:f>
        <x:v>1.1608551091891892</x:v>
      </x:c>
      <x:c r="H63" s="66" t="n">
        <x:f>(MAX(((1)*((2*((('01_Inputs'!$G$65)*('01_Inputs'!$C$10)))*('01_Inputs'!$B$48)*('01_Inputs'!$C$48)+4*((('01_Inputs'!$G$65)*('01_Inputs'!$C$10)))*('01_Inputs'!$C$48)*('01_Inputs'!$D$48)))/(('01_Inputs'!$C$33)*('02_HW'!$C$6))*('02_HW'!$C$10)),((1)*(((((('01_Inputs'!$G$65)*('01_Inputs'!$C$10)))*(('01_Inputs'!$B$48)+('01_Inputs'!$C$48)+('01_Inputs'!$D$48))*('01_Inputs'!$C$16)))+(0)+((('01_Inputs'!$G$65)*((('01_Inputs'!$B$48)*('01_Inputs'!$C$48)+('01_Inputs'!$C$48)*('01_Inputs'!$D$48)))*('01_Inputs'!$C$38))))/(('01_Inputs'!$C$34)*('02_HW'!$C$7))*('02_HW'!$C$10)))+(1)*('02_HW'!$C$9)*('02_HW'!$C$10))</x:f>
        <x:v>2.3217102183783784</x:v>
      </x:c>
    </x:row>
    <x:row r="64">
      <x:c r="A64" s="21" t="str">
        <x:v>backward_update</x:v>
      </x:c>
      <x:c r="B64" s="21" t="str">
        <x:v>M_k_dgd_extra</x:v>
      </x:c>
      <x:c r="C64" s="66" t="n">
        <x:f>(MAX(((1)*((('01_Inputs'!$G$48)*((2*((('01_Inputs'!$B$65)*('01_Inputs'!$C$10)))*((('01_Inputs'!$B$48)*('01_Inputs'!$C$48)+('01_Inputs'!$C$48)*('01_Inputs'!$D$48)))+((('01_Inputs'!$B$65)*('01_Inputs'!$C$10)))*(('01_Inputs'!$C$39)*('01_Inputs'!$C$48)+('01_Inputs'!$C$40)*('01_Inputs'!$D$48))))-(2*((2*((('01_Inputs'!$B$65)*('01_Inputs'!$C$10)))*((('01_Inputs'!$B$48)*('01_Inputs'!$C$48)+('01_Inputs'!$C$48)*('01_Inputs'!$D$48)))+((('01_Inputs'!$B$65)*('01_Inputs'!$C$10)))*(('01_Inputs'!$C$39)*('01_Inputs'!$C$48)+('01_Inputs'!$C$40)*('01_Inputs'!$D$48))))+((2*((('01_Inputs'!$B$65)*('01_Inputs'!$C$10)))*('01_Inputs'!$B$48)*('01_Inputs'!$C$48)+4*((('01_Inputs'!$B$65)*('01_Inputs'!$C$10)))*('01_Inputs'!$C$48)*('01_Inputs'!$D$48))))))/(('01_Inputs'!$C$33)*('02_HW'!$C$6))*('02_HW'!$C$10)),((1)*(((('01_Inputs'!$B$65)*((('01_Inputs'!$B$48)*('01_Inputs'!$C$48)+('01_Inputs'!$C$48)*('01_Inputs'!$D$48)))*('01_Inputs'!$C$38)))+(0)+((('01_Inputs'!$B$65)*((('01_Inputs'!$B$48)*('01_Inputs'!$C$48)+('01_Inputs'!$C$48)*('01_Inputs'!$D$48)))*('01_Inputs'!$C$38))))/(('01_Inputs'!$C$34)*('02_HW'!$C$7))*('02_HW'!$C$10)))+(1)*('02_HW'!$C$9)*('02_HW'!$C$10))</x:f>
        <x:v>0.1451002464864865</x:v>
      </x:c>
      <x:c r="D64" s="66" t="n">
        <x:f>(MAX(((1)*((('01_Inputs'!$G$48)*((2*((('01_Inputs'!$C$65)*('01_Inputs'!$C$10)))*((('01_Inputs'!$B$48)*('01_Inputs'!$C$48)+('01_Inputs'!$C$48)*('01_Inputs'!$D$48)))+((('01_Inputs'!$C$65)*('01_Inputs'!$C$10)))*(('01_Inputs'!$C$39)*('01_Inputs'!$C$48)+('01_Inputs'!$C$40)*('01_Inputs'!$D$48))))-(2*((2*((('01_Inputs'!$C$65)*('01_Inputs'!$C$10)))*((('01_Inputs'!$B$48)*('01_Inputs'!$C$48)+('01_Inputs'!$C$48)*('01_Inputs'!$D$48)))+((('01_Inputs'!$C$65)*('01_Inputs'!$C$10)))*(('01_Inputs'!$C$39)*('01_Inputs'!$C$48)+('01_Inputs'!$C$40)*('01_Inputs'!$D$48))))+((2*((('01_Inputs'!$C$65)*('01_Inputs'!$C$10)))*('01_Inputs'!$B$48)*('01_Inputs'!$C$48)+4*((('01_Inputs'!$C$65)*('01_Inputs'!$C$10)))*('01_Inputs'!$C$48)*('01_Inputs'!$D$48))))))/(('01_Inputs'!$C$33)*('02_HW'!$C$6))*('02_HW'!$C$10)),((1)*(((('01_Inputs'!$C$65)*((('01_Inputs'!$B$48)*('01_Inputs'!$C$48)+('01_Inputs'!$C$48)*('01_Inputs'!$D$48)))*('01_Inputs'!$C$38)))+(0)+((('01_Inputs'!$C$65)*((('01_Inputs'!$B$48)*('01_Inputs'!$C$48)+('01_Inputs'!$C$48)*('01_Inputs'!$D$48)))*('01_Inputs'!$C$38))))/(('01_Inputs'!$C$34)*('02_HW'!$C$7))*('02_HW'!$C$10)))+(1)*('02_HW'!$C$9)*('02_HW'!$C$10))</x:f>
        <x:v>0.290200492972973</x:v>
      </x:c>
      <x:c r="E64" s="66" t="n">
        <x:f>(MAX(((1)*((('01_Inputs'!$G$48)*((2*((('01_Inputs'!$D$65)*('01_Inputs'!$C$10)))*((('01_Inputs'!$B$48)*('01_Inputs'!$C$48)+('01_Inputs'!$C$48)*('01_Inputs'!$D$48)))+((('01_Inputs'!$D$65)*('01_Inputs'!$C$10)))*(('01_Inputs'!$C$39)*('01_Inputs'!$C$48)+('01_Inputs'!$C$40)*('01_Inputs'!$D$48))))-(2*((2*((('01_Inputs'!$D$65)*('01_Inputs'!$C$10)))*((('01_Inputs'!$B$48)*('01_Inputs'!$C$48)+('01_Inputs'!$C$48)*('01_Inputs'!$D$48)))+((('01_Inputs'!$D$65)*('01_Inputs'!$C$10)))*(('01_Inputs'!$C$39)*('01_Inputs'!$C$48)+('01_Inputs'!$C$40)*('01_Inputs'!$D$48))))+((2*((('01_Inputs'!$D$65)*('01_Inputs'!$C$10)))*('01_Inputs'!$B$48)*('01_Inputs'!$C$48)+4*((('01_Inputs'!$D$65)*('01_Inputs'!$C$10)))*('01_Inputs'!$C$48)*('01_Inputs'!$D$48))))))/(('01_Inputs'!$C$33)*('02_HW'!$C$6))*('02_HW'!$C$10)),((1)*(((('01_Inputs'!$D$65)*((('01_Inputs'!$B$48)*('01_Inputs'!$C$48)+('01_Inputs'!$C$48)*('01_Inputs'!$D$48)))*('01_Inputs'!$C$38)))+(0)+((('01_Inputs'!$D$65)*((('01_Inputs'!$B$48)*('01_Inputs'!$C$48)+('01_Inputs'!$C$48)*('01_Inputs'!$D$48)))*('01_Inputs'!$C$38))))/(('01_Inputs'!$C$34)*('02_HW'!$C$7))*('02_HW'!$C$10)))+(1)*('02_HW'!$C$9)*('02_HW'!$C$10))</x:f>
        <x:v>0.580400985945946</x:v>
      </x:c>
      <x:c r="F64" s="66" t="n">
        <x:f>(MAX(((1)*((('01_Inputs'!$G$48)*((2*((('01_Inputs'!$E$65)*('01_Inputs'!$C$10)))*((('01_Inputs'!$B$48)*('01_Inputs'!$C$48)+('01_Inputs'!$C$48)*('01_Inputs'!$D$48)))+((('01_Inputs'!$E$65)*('01_Inputs'!$C$10)))*(('01_Inputs'!$C$39)*('01_Inputs'!$C$48)+('01_Inputs'!$C$40)*('01_Inputs'!$D$48))))-(2*((2*((('01_Inputs'!$E$65)*('01_Inputs'!$C$10)))*((('01_Inputs'!$B$48)*('01_Inputs'!$C$48)+('01_Inputs'!$C$48)*('01_Inputs'!$D$48)))+((('01_Inputs'!$E$65)*('01_Inputs'!$C$10)))*(('01_Inputs'!$C$39)*('01_Inputs'!$C$48)+('01_Inputs'!$C$40)*('01_Inputs'!$D$48))))+((2*((('01_Inputs'!$E$65)*('01_Inputs'!$C$10)))*('01_Inputs'!$B$48)*('01_Inputs'!$C$48)+4*((('01_Inputs'!$E$65)*('01_Inputs'!$C$10)))*('01_Inputs'!$C$48)*('01_Inputs'!$D$48))))))/(('01_Inputs'!$C$33)*('02_HW'!$C$6))*('02_HW'!$C$10)),((1)*(((('01_Inputs'!$E$65)*((('01_Inputs'!$B$48)*('01_Inputs'!$C$48)+('01_Inputs'!$C$48)*('01_Inputs'!$D$48)))*('01_Inputs'!$C$38)))+(0)+((('01_Inputs'!$E$65)*((('01_Inputs'!$B$48)*('01_Inputs'!$C$48)+('01_Inputs'!$C$48)*('01_Inputs'!$D$48)))*('01_Inputs'!$C$38))))/(('01_Inputs'!$C$34)*('02_HW'!$C$7))*('02_HW'!$C$10)))+(1)*('02_HW'!$C$9)*('02_HW'!$C$10))</x:f>
        <x:v>1.160801971891892</x:v>
      </x:c>
      <x:c r="G64" s="66" t="n">
        <x:f>(MAX(((1)*((('01_Inputs'!$G$48)*((2*((('01_Inputs'!$F$65)*('01_Inputs'!$C$10)))*((('01_Inputs'!$B$48)*('01_Inputs'!$C$48)+('01_Inputs'!$C$48)*('01_Inputs'!$D$48)))+((('01_Inputs'!$F$65)*('01_Inputs'!$C$10)))*(('01_Inputs'!$C$39)*('01_Inputs'!$C$48)+('01_Inputs'!$C$40)*('01_Inputs'!$D$48))))-(2*((2*((('01_Inputs'!$F$65)*('01_Inputs'!$C$10)))*((('01_Inputs'!$B$48)*('01_Inputs'!$C$48)+('01_Inputs'!$C$48)*('01_Inputs'!$D$48)))+((('01_Inputs'!$F$65)*('01_Inputs'!$C$10)))*(('01_Inputs'!$C$39)*('01_Inputs'!$C$48)+('01_Inputs'!$C$40)*('01_Inputs'!$D$48))))+((2*((('01_Inputs'!$F$65)*('01_Inputs'!$C$10)))*('01_Inputs'!$B$48)*('01_Inputs'!$C$48)+4*((('01_Inputs'!$F$65)*('01_Inputs'!$C$10)))*('01_Inputs'!$C$48)*('01_Inputs'!$D$48))))))/(('01_Inputs'!$C$33)*('02_HW'!$C$6))*('02_HW'!$C$10)),((1)*(((('01_Inputs'!$F$65)*((('01_Inputs'!$B$48)*('01_Inputs'!$C$48)+('01_Inputs'!$C$48)*('01_Inputs'!$D$48)))*('01_Inputs'!$C$38)))+(0)+((('01_Inputs'!$F$65)*((('01_Inputs'!$B$48)*('01_Inputs'!$C$48)+('01_Inputs'!$C$48)*('01_Inputs'!$D$48)))*('01_Inputs'!$C$38))))/(('01_Inputs'!$C$34)*('02_HW'!$C$7))*('02_HW'!$C$10)))+(1)*('02_HW'!$C$9)*('02_HW'!$C$10))</x:f>
        <x:v>2.321603943783784</x:v>
      </x:c>
      <x:c r="H64" s="66" t="n">
        <x:f>(MAX(((1)*((('01_Inputs'!$G$48)*((2*((('01_Inputs'!$G$65)*('01_Inputs'!$C$10)))*((('01_Inputs'!$B$48)*('01_Inputs'!$C$48)+('01_Inputs'!$C$48)*('01_Inputs'!$D$48)))+((('01_Inputs'!$G$65)*('01_Inputs'!$C$10)))*(('01_Inputs'!$C$39)*('01_Inputs'!$C$48)+('01_Inputs'!$C$40)*('01_Inputs'!$D$48))))-(2*((2*((('01_Inputs'!$G$65)*('01_Inputs'!$C$10)))*((('01_Inputs'!$B$48)*('01_Inputs'!$C$48)+('01_Inputs'!$C$48)*('01_Inputs'!$D$48)))+((('01_Inputs'!$G$65)*('01_Inputs'!$C$10)))*(('01_Inputs'!$C$39)*('01_Inputs'!$C$48)+('01_Inputs'!$C$40)*('01_Inputs'!$D$48))))+((2*((('01_Inputs'!$G$65)*('01_Inputs'!$C$10)))*('01_Inputs'!$B$48)*('01_Inputs'!$C$48)+4*((('01_Inputs'!$G$65)*('01_Inputs'!$C$10)))*('01_Inputs'!$C$48)*('01_Inputs'!$D$48))))))/(('01_Inputs'!$C$33)*('02_HW'!$C$6))*('02_HW'!$C$10)),((1)*(((('01_Inputs'!$G$65)*((('01_Inputs'!$B$48)*('01_Inputs'!$C$48)+('01_Inputs'!$C$48)*('01_Inputs'!$D$48)))*('01_Inputs'!$C$38)))+(0)+((('01_Inputs'!$G$65)*((('01_Inputs'!$B$48)*('01_Inputs'!$C$48)+('01_Inputs'!$C$48)*('01_Inputs'!$D$48)))*('01_Inputs'!$C$38))))/(('01_Inputs'!$C$34)*('02_HW'!$C$7))*('02_HW'!$C$10)))+(1)*('02_HW'!$C$9)*('02_HW'!$C$10))</x:f>
        <x:v>4.643207887567568</x:v>
      </x:c>
    </x:row>
    <x:row r="65">
      <x:c r="A65" s="21" t="str">
        <x:v>backward_update</x:v>
      </x:c>
      <x:c r="B65" s="21" t="str">
        <x:v>M_k_state_apply</x:v>
      </x:c>
      <x:c r="C65" s="66" t="n">
        <x:f>(MAX((((1/('01_Inputs'!$E$48)))*(0)/(('01_Inputs'!$C$33)*('02_HW'!$C$6))*('02_HW'!$C$10)),(((1/('01_Inputs'!$E$48)))*(((('01_Inputs'!$B$65)*(1+('01_Inputs'!$F$48))*((('01_Inputs'!$B$48)*('01_Inputs'!$C$48)+('01_Inputs'!$C$48)*('01_Inputs'!$D$48)))*('01_Inputs'!$C$37)))+((('01_Inputs'!$B$65)*(1+('01_Inputs'!$F$48))*((('01_Inputs'!$B$48)*('01_Inputs'!$C$48)+('01_Inputs'!$C$48)*('01_Inputs'!$D$48)))*('01_Inputs'!$C$37)))+(0))/(('01_Inputs'!$C$34)*('02_HW'!$C$7))*('02_HW'!$C$10)))+((1/('01_Inputs'!$E$48)))*('02_HW'!$C$9)*('02_HW'!$C$10))</x:f>
        <x:v>0.00003542486486486487</x:v>
      </x:c>
      <x:c r="D65" s="66" t="n">
        <x:f>(MAX((((1/('01_Inputs'!$E$48)))*(0)/(('01_Inputs'!$C$33)*('02_HW'!$C$6))*('02_HW'!$C$10)),(((1/('01_Inputs'!$E$48)))*(((('01_Inputs'!$C$65)*(1+('01_Inputs'!$F$48))*((('01_Inputs'!$B$48)*('01_Inputs'!$C$48)+('01_Inputs'!$C$48)*('01_Inputs'!$D$48)))*('01_Inputs'!$C$37)))+((('01_Inputs'!$C$65)*(1+('01_Inputs'!$F$48))*((('01_Inputs'!$B$48)*('01_Inputs'!$C$48)+('01_Inputs'!$C$48)*('01_Inputs'!$D$48)))*('01_Inputs'!$C$37)))+(0))/(('01_Inputs'!$C$34)*('02_HW'!$C$7))*('02_HW'!$C$10)))+((1/('01_Inputs'!$E$48)))*('02_HW'!$C$9)*('02_HW'!$C$10))</x:f>
        <x:v>0.00007084972972972974</x:v>
      </x:c>
      <x:c r="E65" s="66" t="n">
        <x:f>(MAX((((1/('01_Inputs'!$E$48)))*(0)/(('01_Inputs'!$C$33)*('02_HW'!$C$6))*('02_HW'!$C$10)),(((1/('01_Inputs'!$E$48)))*(((('01_Inputs'!$D$65)*(1+('01_Inputs'!$F$48))*((('01_Inputs'!$B$48)*('01_Inputs'!$C$48)+('01_Inputs'!$C$48)*('01_Inputs'!$D$48)))*('01_Inputs'!$C$37)))+((('01_Inputs'!$D$65)*(1+('01_Inputs'!$F$48))*((('01_Inputs'!$B$48)*('01_Inputs'!$C$48)+('01_Inputs'!$C$48)*('01_Inputs'!$D$48)))*('01_Inputs'!$C$37)))+(0))/(('01_Inputs'!$C$34)*('02_HW'!$C$7))*('02_HW'!$C$10)))+((1/('01_Inputs'!$E$48)))*('02_HW'!$C$9)*('02_HW'!$C$10))</x:f>
        <x:v>0.00014169945945945948</x:v>
      </x:c>
      <x:c r="F65" s="66" t="n">
        <x:f>(MAX((((1/('01_Inputs'!$E$48)))*(0)/(('01_Inputs'!$C$33)*('02_HW'!$C$6))*('02_HW'!$C$10)),(((1/('01_Inputs'!$E$48)))*(((('01_Inputs'!$E$65)*(1+('01_Inputs'!$F$48))*((('01_Inputs'!$B$48)*('01_Inputs'!$C$48)+('01_Inputs'!$C$48)*('01_Inputs'!$D$48)))*('01_Inputs'!$C$37)))+((('01_Inputs'!$E$65)*(1+('01_Inputs'!$F$48))*((('01_Inputs'!$B$48)*('01_Inputs'!$C$48)+('01_Inputs'!$C$48)*('01_Inputs'!$D$48)))*('01_Inputs'!$C$37)))+(0))/(('01_Inputs'!$C$34)*('02_HW'!$C$7))*('02_HW'!$C$10)))+((1/('01_Inputs'!$E$48)))*('02_HW'!$C$9)*('02_HW'!$C$10))</x:f>
        <x:v>0.00028339891891891896</x:v>
      </x:c>
      <x:c r="G65" s="66" t="n">
        <x:f>(MAX((((1/('01_Inputs'!$E$48)))*(0)/(('01_Inputs'!$C$33)*('02_HW'!$C$6))*('02_HW'!$C$10)),(((1/('01_Inputs'!$E$48)))*(((('01_Inputs'!$F$65)*(1+('01_Inputs'!$F$48))*((('01_Inputs'!$B$48)*('01_Inputs'!$C$48)+('01_Inputs'!$C$48)*('01_Inputs'!$D$48)))*('01_Inputs'!$C$37)))+((('01_Inputs'!$F$65)*(1+('01_Inputs'!$F$48))*((('01_Inputs'!$B$48)*('01_Inputs'!$C$48)+('01_Inputs'!$C$48)*('01_Inputs'!$D$48)))*('01_Inputs'!$C$37)))+(0))/(('01_Inputs'!$C$34)*('02_HW'!$C$7))*('02_HW'!$C$10)))+((1/('01_Inputs'!$E$48)))*('02_HW'!$C$9)*('02_HW'!$C$10))</x:f>
        <x:v>0.0005667978378378379</x:v>
      </x:c>
      <x:c r="H65" s="66" t="n">
        <x:f>(MAX((((1/('01_Inputs'!$E$48)))*(0)/(('01_Inputs'!$C$33)*('02_HW'!$C$6))*('02_HW'!$C$10)),(((1/('01_Inputs'!$E$48)))*(((('01_Inputs'!$G$65)*(1+('01_Inputs'!$F$48))*((('01_Inputs'!$B$48)*('01_Inputs'!$C$48)+('01_Inputs'!$C$48)*('01_Inputs'!$D$48)))*('01_Inputs'!$C$37)))+((('01_Inputs'!$G$65)*(1+('01_Inputs'!$F$48))*((('01_Inputs'!$B$48)*('01_Inputs'!$C$48)+('01_Inputs'!$C$48)*('01_Inputs'!$D$48)))*('01_Inputs'!$C$37)))+(0))/(('01_Inputs'!$C$34)*('02_HW'!$C$7))*('02_HW'!$C$10)))+((1/('01_Inputs'!$E$48)))*('02_HW'!$C$9)*('02_HW'!$C$10))</x:f>
        <x:v>0.0011335956756756758</x:v>
      </x:c>
    </x:row>
    <x:row r="66">
      <x:c r="A66" s="21" t="str">
        <x:v>backward_update</x:v>
      </x:c>
      <x:c r="B66" s="21" t="str">
        <x:v>M_v_weight_backward</x:v>
      </x:c>
      <x:c r="C66" s="66" t="n">
        <x:f>(MAX(((1)*((2*((('01_Inputs'!$B$65)*('01_Inputs'!$C$10)))*('01_Inputs'!$B$49)*('01_Inputs'!$C$49)+4*((('01_Inputs'!$B$65)*('01_Inputs'!$C$10)))*('01_Inputs'!$C$49)*('01_Inputs'!$D$49)))/(('01_Inputs'!$C$33)*('02_HW'!$C$6))*('02_HW'!$C$10)),((1)*(((((('01_Inputs'!$B$65)*('01_Inputs'!$C$10)))*(('01_Inputs'!$B$49)+('01_Inputs'!$C$49)+('01_Inputs'!$D$49))*('01_Inputs'!$C$16)))+(0)+((('01_Inputs'!$B$65)*((('01_Inputs'!$B$49)*('01_Inputs'!$C$49)+('01_Inputs'!$C$49)*('01_Inputs'!$D$49)))*('01_Inputs'!$C$38))))/(('01_Inputs'!$C$34)*('02_HW'!$C$7))*('02_HW'!$C$10)))+(1)*('02_HW'!$C$9)*('02_HW'!$C$10))</x:f>
        <x:v>0.07255344432432433</x:v>
      </x:c>
      <x:c r="D66" s="66" t="n">
        <x:f>(MAX(((1)*((2*((('01_Inputs'!$C$65)*('01_Inputs'!$C$10)))*('01_Inputs'!$B$49)*('01_Inputs'!$C$49)+4*((('01_Inputs'!$C$65)*('01_Inputs'!$C$10)))*('01_Inputs'!$C$49)*('01_Inputs'!$D$49)))/(('01_Inputs'!$C$33)*('02_HW'!$C$6))*('02_HW'!$C$10)),((1)*(((((('01_Inputs'!$C$65)*('01_Inputs'!$C$10)))*(('01_Inputs'!$B$49)+('01_Inputs'!$C$49)+('01_Inputs'!$D$49))*('01_Inputs'!$C$16)))+(0)+((('01_Inputs'!$C$65)*((('01_Inputs'!$B$49)*('01_Inputs'!$C$49)+('01_Inputs'!$C$49)*('01_Inputs'!$D$49)))*('01_Inputs'!$C$38))))/(('01_Inputs'!$C$34)*('02_HW'!$C$7))*('02_HW'!$C$10)))+(1)*('02_HW'!$C$9)*('02_HW'!$C$10))</x:f>
        <x:v>0.14510688864864865</x:v>
      </x:c>
      <x:c r="E66" s="66" t="n">
        <x:f>(MAX(((1)*((2*((('01_Inputs'!$D$65)*('01_Inputs'!$C$10)))*('01_Inputs'!$B$49)*('01_Inputs'!$C$49)+4*((('01_Inputs'!$D$65)*('01_Inputs'!$C$10)))*('01_Inputs'!$C$49)*('01_Inputs'!$D$49)))/(('01_Inputs'!$C$33)*('02_HW'!$C$6))*('02_HW'!$C$10)),((1)*(((((('01_Inputs'!$D$65)*('01_Inputs'!$C$10)))*(('01_Inputs'!$B$49)+('01_Inputs'!$C$49)+('01_Inputs'!$D$49))*('01_Inputs'!$C$16)))+(0)+((('01_Inputs'!$D$65)*((('01_Inputs'!$B$49)*('01_Inputs'!$C$49)+('01_Inputs'!$C$49)*('01_Inputs'!$D$49)))*('01_Inputs'!$C$38))))/(('01_Inputs'!$C$34)*('02_HW'!$C$7))*('02_HW'!$C$10)))+(1)*('02_HW'!$C$9)*('02_HW'!$C$10))</x:f>
        <x:v>0.2902137772972973</x:v>
      </x:c>
      <x:c r="F66" s="66" t="n">
        <x:f>(MAX(((1)*((2*((('01_Inputs'!$E$65)*('01_Inputs'!$C$10)))*('01_Inputs'!$B$49)*('01_Inputs'!$C$49)+4*((('01_Inputs'!$E$65)*('01_Inputs'!$C$10)))*('01_Inputs'!$C$49)*('01_Inputs'!$D$49)))/(('01_Inputs'!$C$33)*('02_HW'!$C$6))*('02_HW'!$C$10)),((1)*(((((('01_Inputs'!$E$65)*('01_Inputs'!$C$10)))*(('01_Inputs'!$B$49)+('01_Inputs'!$C$49)+('01_Inputs'!$D$49))*('01_Inputs'!$C$16)))+(0)+((('01_Inputs'!$E$65)*((('01_Inputs'!$B$49)*('01_Inputs'!$C$49)+('01_Inputs'!$C$49)*('01_Inputs'!$D$49)))*('01_Inputs'!$C$38))))/(('01_Inputs'!$C$34)*('02_HW'!$C$7))*('02_HW'!$C$10)))+(1)*('02_HW'!$C$9)*('02_HW'!$C$10))</x:f>
        <x:v>0.5804275545945946</x:v>
      </x:c>
      <x:c r="G66" s="66" t="n">
        <x:f>(MAX(((1)*((2*((('01_Inputs'!$F$65)*('01_Inputs'!$C$10)))*('01_Inputs'!$B$49)*('01_Inputs'!$C$49)+4*((('01_Inputs'!$F$65)*('01_Inputs'!$C$10)))*('01_Inputs'!$C$49)*('01_Inputs'!$D$49)))/(('01_Inputs'!$C$33)*('02_HW'!$C$6))*('02_HW'!$C$10)),((1)*(((((('01_Inputs'!$F$65)*('01_Inputs'!$C$10)))*(('01_Inputs'!$B$49)+('01_Inputs'!$C$49)+('01_Inputs'!$D$49))*('01_Inputs'!$C$16)))+(0)+((('01_Inputs'!$F$65)*((('01_Inputs'!$B$49)*('01_Inputs'!$C$49)+('01_Inputs'!$C$49)*('01_Inputs'!$D$49)))*('01_Inputs'!$C$38))))/(('01_Inputs'!$C$34)*('02_HW'!$C$7))*('02_HW'!$C$10)))+(1)*('02_HW'!$C$9)*('02_HW'!$C$10))</x:f>
        <x:v>1.1608551091891892</x:v>
      </x:c>
      <x:c r="H66" s="66" t="n">
        <x:f>(MAX(((1)*((2*((('01_Inputs'!$G$65)*('01_Inputs'!$C$10)))*('01_Inputs'!$B$49)*('01_Inputs'!$C$49)+4*((('01_Inputs'!$G$65)*('01_Inputs'!$C$10)))*('01_Inputs'!$C$49)*('01_Inputs'!$D$49)))/(('01_Inputs'!$C$33)*('02_HW'!$C$6))*('02_HW'!$C$10)),((1)*(((((('01_Inputs'!$G$65)*('01_Inputs'!$C$10)))*(('01_Inputs'!$B$49)+('01_Inputs'!$C$49)+('01_Inputs'!$D$49))*('01_Inputs'!$C$16)))+(0)+((('01_Inputs'!$G$65)*((('01_Inputs'!$B$49)*('01_Inputs'!$C$49)+('01_Inputs'!$C$49)*('01_Inputs'!$D$49)))*('01_Inputs'!$C$38))))/(('01_Inputs'!$C$34)*('02_HW'!$C$7))*('02_HW'!$C$10)))+(1)*('02_HW'!$C$9)*('02_HW'!$C$10))</x:f>
        <x:v>2.3217102183783784</x:v>
      </x:c>
    </x:row>
    <x:row r="67">
      <x:c r="A67" s="21" t="str">
        <x:v>backward_update</x:v>
      </x:c>
      <x:c r="B67" s="21" t="str">
        <x:v>M_v_dgd_extra</x:v>
      </x:c>
      <x:c r="C67" s="66" t="n">
        <x:f>(MAX(((1)*((('01_Inputs'!$G$49)*((2*((('01_Inputs'!$B$65)*('01_Inputs'!$C$10)))*((('01_Inputs'!$B$49)*('01_Inputs'!$C$49)+('01_Inputs'!$C$49)*('01_Inputs'!$D$49)))+((('01_Inputs'!$B$65)*('01_Inputs'!$C$10)))*(('01_Inputs'!$C$39)*('01_Inputs'!$C$49)+('01_Inputs'!$C$40)*('01_Inputs'!$D$49))))-(2*((2*((('01_Inputs'!$B$65)*('01_Inputs'!$C$10)))*((('01_Inputs'!$B$49)*('01_Inputs'!$C$49)+('01_Inputs'!$C$49)*('01_Inputs'!$D$49)))+((('01_Inputs'!$B$65)*('01_Inputs'!$C$10)))*(('01_Inputs'!$C$39)*('01_Inputs'!$C$49)+('01_Inputs'!$C$40)*('01_Inputs'!$D$49))))+((2*((('01_Inputs'!$B$65)*('01_Inputs'!$C$10)))*('01_Inputs'!$B$49)*('01_Inputs'!$C$49)+4*((('01_Inputs'!$B$65)*('01_Inputs'!$C$10)))*('01_Inputs'!$C$49)*('01_Inputs'!$D$49))))))/(('01_Inputs'!$C$33)*('02_HW'!$C$6))*('02_HW'!$C$10)),((1)*(((('01_Inputs'!$B$65)*((('01_Inputs'!$B$49)*('01_Inputs'!$C$49)+('01_Inputs'!$C$49)*('01_Inputs'!$D$49)))*('01_Inputs'!$C$38)))+(0)+((('01_Inputs'!$B$65)*((('01_Inputs'!$B$49)*('01_Inputs'!$C$49)+('01_Inputs'!$C$49)*('01_Inputs'!$D$49)))*('01_Inputs'!$C$38))))/(('01_Inputs'!$C$34)*('02_HW'!$C$7))*('02_HW'!$C$10)))+(1)*('02_HW'!$C$9)*('02_HW'!$C$10))</x:f>
        <x:v>0.1451002464864865</x:v>
      </x:c>
      <x:c r="D67" s="66" t="n">
        <x:f>(MAX(((1)*((('01_Inputs'!$G$49)*((2*((('01_Inputs'!$C$65)*('01_Inputs'!$C$10)))*((('01_Inputs'!$B$49)*('01_Inputs'!$C$49)+('01_Inputs'!$C$49)*('01_Inputs'!$D$49)))+((('01_Inputs'!$C$65)*('01_Inputs'!$C$10)))*(('01_Inputs'!$C$39)*('01_Inputs'!$C$49)+('01_Inputs'!$C$40)*('01_Inputs'!$D$49))))-(2*((2*((('01_Inputs'!$C$65)*('01_Inputs'!$C$10)))*((('01_Inputs'!$B$49)*('01_Inputs'!$C$49)+('01_Inputs'!$C$49)*('01_Inputs'!$D$49)))+((('01_Inputs'!$C$65)*('01_Inputs'!$C$10)))*(('01_Inputs'!$C$39)*('01_Inputs'!$C$49)+('01_Inputs'!$C$40)*('01_Inputs'!$D$49))))+((2*((('01_Inputs'!$C$65)*('01_Inputs'!$C$10)))*('01_Inputs'!$B$49)*('01_Inputs'!$C$49)+4*((('01_Inputs'!$C$65)*('01_Inputs'!$C$10)))*('01_Inputs'!$C$49)*('01_Inputs'!$D$49))))))/(('01_Inputs'!$C$33)*('02_HW'!$C$6))*('02_HW'!$C$10)),((1)*(((('01_Inputs'!$C$65)*((('01_Inputs'!$B$49)*('01_Inputs'!$C$49)+('01_Inputs'!$C$49)*('01_Inputs'!$D$49)))*('01_Inputs'!$C$38)))+(0)+((('01_Inputs'!$C$65)*((('01_Inputs'!$B$49)*('01_Inputs'!$C$49)+('01_Inputs'!$C$49)*('01_Inputs'!$D$49)))*('01_Inputs'!$C$38))))/(('01_Inputs'!$C$34)*('02_HW'!$C$7))*('02_HW'!$C$10)))+(1)*('02_HW'!$C$9)*('02_HW'!$C$10))</x:f>
        <x:v>0.290200492972973</x:v>
      </x:c>
      <x:c r="E67" s="66" t="n">
        <x:f>(MAX(((1)*((('01_Inputs'!$G$49)*((2*((('01_Inputs'!$D$65)*('01_Inputs'!$C$10)))*((('01_Inputs'!$B$49)*('01_Inputs'!$C$49)+('01_Inputs'!$C$49)*('01_Inputs'!$D$49)))+((('01_Inputs'!$D$65)*('01_Inputs'!$C$10)))*(('01_Inputs'!$C$39)*('01_Inputs'!$C$49)+('01_Inputs'!$C$40)*('01_Inputs'!$D$49))))-(2*((2*((('01_Inputs'!$D$65)*('01_Inputs'!$C$10)))*((('01_Inputs'!$B$49)*('01_Inputs'!$C$49)+('01_Inputs'!$C$49)*('01_Inputs'!$D$49)))+((('01_Inputs'!$D$65)*('01_Inputs'!$C$10)))*(('01_Inputs'!$C$39)*('01_Inputs'!$C$49)+('01_Inputs'!$C$40)*('01_Inputs'!$D$49))))+((2*((('01_Inputs'!$D$65)*('01_Inputs'!$C$10)))*('01_Inputs'!$B$49)*('01_Inputs'!$C$49)+4*((('01_Inputs'!$D$65)*('01_Inputs'!$C$10)))*('01_Inputs'!$C$49)*('01_Inputs'!$D$49))))))/(('01_Inputs'!$C$33)*('02_HW'!$C$6))*('02_HW'!$C$10)),((1)*(((('01_Inputs'!$D$65)*((('01_Inputs'!$B$49)*('01_Inputs'!$C$49)+('01_Inputs'!$C$49)*('01_Inputs'!$D$49)))*('01_Inputs'!$C$38)))+(0)+((('01_Inputs'!$D$65)*((('01_Inputs'!$B$49)*('01_Inputs'!$C$49)+('01_Inputs'!$C$49)*('01_Inputs'!$D$49)))*('01_Inputs'!$C$38))))/(('01_Inputs'!$C$34)*('02_HW'!$C$7))*('02_HW'!$C$10)))+(1)*('02_HW'!$C$9)*('02_HW'!$C$10))</x:f>
        <x:v>0.580400985945946</x:v>
      </x:c>
      <x:c r="F67" s="66" t="n">
        <x:f>(MAX(((1)*((('01_Inputs'!$G$49)*((2*((('01_Inputs'!$E$65)*('01_Inputs'!$C$10)))*((('01_Inputs'!$B$49)*('01_Inputs'!$C$49)+('01_Inputs'!$C$49)*('01_Inputs'!$D$49)))+((('01_Inputs'!$E$65)*('01_Inputs'!$C$10)))*(('01_Inputs'!$C$39)*('01_Inputs'!$C$49)+('01_Inputs'!$C$40)*('01_Inputs'!$D$49))))-(2*((2*((('01_Inputs'!$E$65)*('01_Inputs'!$C$10)))*((('01_Inputs'!$B$49)*('01_Inputs'!$C$49)+('01_Inputs'!$C$49)*('01_Inputs'!$D$49)))+((('01_Inputs'!$E$65)*('01_Inputs'!$C$10)))*(('01_Inputs'!$C$39)*('01_Inputs'!$C$49)+('01_Inputs'!$C$40)*('01_Inputs'!$D$49))))+((2*((('01_Inputs'!$E$65)*('01_Inputs'!$C$10)))*('01_Inputs'!$B$49)*('01_Inputs'!$C$49)+4*((('01_Inputs'!$E$65)*('01_Inputs'!$C$10)))*('01_Inputs'!$C$49)*('01_Inputs'!$D$49))))))/(('01_Inputs'!$C$33)*('02_HW'!$C$6))*('02_HW'!$C$10)),((1)*(((('01_Inputs'!$E$65)*((('01_Inputs'!$B$49)*('01_Inputs'!$C$49)+('01_Inputs'!$C$49)*('01_Inputs'!$D$49)))*('01_Inputs'!$C$38)))+(0)+((('01_Inputs'!$E$65)*((('01_Inputs'!$B$49)*('01_Inputs'!$C$49)+('01_Inputs'!$C$49)*('01_Inputs'!$D$49)))*('01_Inputs'!$C$38))))/(('01_Inputs'!$C$34)*('02_HW'!$C$7))*('02_HW'!$C$10)))+(1)*('02_HW'!$C$9)*('02_HW'!$C$10))</x:f>
        <x:v>1.160801971891892</x:v>
      </x:c>
      <x:c r="G67" s="66" t="n">
        <x:f>(MAX(((1)*((('01_Inputs'!$G$49)*((2*((('01_Inputs'!$F$65)*('01_Inputs'!$C$10)))*((('01_Inputs'!$B$49)*('01_Inputs'!$C$49)+('01_Inputs'!$C$49)*('01_Inputs'!$D$49)))+((('01_Inputs'!$F$65)*('01_Inputs'!$C$10)))*(('01_Inputs'!$C$39)*('01_Inputs'!$C$49)+('01_Inputs'!$C$40)*('01_Inputs'!$D$49))))-(2*((2*((('01_Inputs'!$F$65)*('01_Inputs'!$C$10)))*((('01_Inputs'!$B$49)*('01_Inputs'!$C$49)+('01_Inputs'!$C$49)*('01_Inputs'!$D$49)))+((('01_Inputs'!$F$65)*('01_Inputs'!$C$10)))*(('01_Inputs'!$C$39)*('01_Inputs'!$C$49)+('01_Inputs'!$C$40)*('01_Inputs'!$D$49))))+((2*((('01_Inputs'!$F$65)*('01_Inputs'!$C$10)))*('01_Inputs'!$B$49)*('01_Inputs'!$C$49)+4*((('01_Inputs'!$F$65)*('01_Inputs'!$C$10)))*('01_Inputs'!$C$49)*('01_Inputs'!$D$49))))))/(('01_Inputs'!$C$33)*('02_HW'!$C$6))*('02_HW'!$C$10)),((1)*(((('01_Inputs'!$F$65)*((('01_Inputs'!$B$49)*('01_Inputs'!$C$49)+('01_Inputs'!$C$49)*('01_Inputs'!$D$49)))*('01_Inputs'!$C$38)))+(0)+((('01_Inputs'!$F$65)*((('01_Inputs'!$B$49)*('01_Inputs'!$C$49)+('01_Inputs'!$C$49)*('01_Inputs'!$D$49)))*('01_Inputs'!$C$38))))/(('01_Inputs'!$C$34)*('02_HW'!$C$7))*('02_HW'!$C$10)))+(1)*('02_HW'!$C$9)*('02_HW'!$C$10))</x:f>
        <x:v>2.321603943783784</x:v>
      </x:c>
      <x:c r="H67" s="66" t="n">
        <x:f>(MAX(((1)*((('01_Inputs'!$G$49)*((2*((('01_Inputs'!$G$65)*('01_Inputs'!$C$10)))*((('01_Inputs'!$B$49)*('01_Inputs'!$C$49)+('01_Inputs'!$C$49)*('01_Inputs'!$D$49)))+((('01_Inputs'!$G$65)*('01_Inputs'!$C$10)))*(('01_Inputs'!$C$39)*('01_Inputs'!$C$49)+('01_Inputs'!$C$40)*('01_Inputs'!$D$49))))-(2*((2*((('01_Inputs'!$G$65)*('01_Inputs'!$C$10)))*((('01_Inputs'!$B$49)*('01_Inputs'!$C$49)+('01_Inputs'!$C$49)*('01_Inputs'!$D$49)))+((('01_Inputs'!$G$65)*('01_Inputs'!$C$10)))*(('01_Inputs'!$C$39)*('01_Inputs'!$C$49)+('01_Inputs'!$C$40)*('01_Inputs'!$D$49))))+((2*((('01_Inputs'!$G$65)*('01_Inputs'!$C$10)))*('01_Inputs'!$B$49)*('01_Inputs'!$C$49)+4*((('01_Inputs'!$G$65)*('01_Inputs'!$C$10)))*('01_Inputs'!$C$49)*('01_Inputs'!$D$49))))))/(('01_Inputs'!$C$33)*('02_HW'!$C$6))*('02_HW'!$C$10)),((1)*(((('01_Inputs'!$G$65)*((('01_Inputs'!$B$49)*('01_Inputs'!$C$49)+('01_Inputs'!$C$49)*('01_Inputs'!$D$49)))*('01_Inputs'!$C$38)))+(0)+((('01_Inputs'!$G$65)*((('01_Inputs'!$B$49)*('01_Inputs'!$C$49)+('01_Inputs'!$C$49)*('01_Inputs'!$D$49)))*('01_Inputs'!$C$38))))/(('01_Inputs'!$C$34)*('02_HW'!$C$7))*('02_HW'!$C$10)))+(1)*('02_HW'!$C$9)*('02_HW'!$C$10))</x:f>
        <x:v>4.643207887567568</x:v>
      </x:c>
    </x:row>
    <x:row r="68">
      <x:c r="A68" s="21" t="str">
        <x:v>backward_update</x:v>
      </x:c>
      <x:c r="B68" s="21" t="str">
        <x:v>M_v_state_apply</x:v>
      </x:c>
      <x:c r="C68" s="66" t="n">
        <x:f>(MAX((((1/('01_Inputs'!$E$49)))*(0)/(('01_Inputs'!$C$33)*('02_HW'!$C$6))*('02_HW'!$C$10)),(((1/('01_Inputs'!$E$49)))*(((('01_Inputs'!$B$65)*(1+('01_Inputs'!$F$49))*((('01_Inputs'!$B$49)*('01_Inputs'!$C$49)+('01_Inputs'!$C$49)*('01_Inputs'!$D$49)))*('01_Inputs'!$C$37)))+((('01_Inputs'!$B$65)*(1+('01_Inputs'!$F$49))*((('01_Inputs'!$B$49)*('01_Inputs'!$C$49)+('01_Inputs'!$C$49)*('01_Inputs'!$D$49)))*('01_Inputs'!$C$37)))+(0))/(('01_Inputs'!$C$34)*('02_HW'!$C$7))*('02_HW'!$C$10)))+((1/('01_Inputs'!$E$49)))*('02_HW'!$C$9)*('02_HW'!$C$10))</x:f>
        <x:v>0.00003542486486486487</x:v>
      </x:c>
      <x:c r="D68" s="66" t="n">
        <x:f>(MAX((((1/('01_Inputs'!$E$49)))*(0)/(('01_Inputs'!$C$33)*('02_HW'!$C$6))*('02_HW'!$C$10)),(((1/('01_Inputs'!$E$49)))*(((('01_Inputs'!$C$65)*(1+('01_Inputs'!$F$49))*((('01_Inputs'!$B$49)*('01_Inputs'!$C$49)+('01_Inputs'!$C$49)*('01_Inputs'!$D$49)))*('01_Inputs'!$C$37)))+((('01_Inputs'!$C$65)*(1+('01_Inputs'!$F$49))*((('01_Inputs'!$B$49)*('01_Inputs'!$C$49)+('01_Inputs'!$C$49)*('01_Inputs'!$D$49)))*('01_Inputs'!$C$37)))+(0))/(('01_Inputs'!$C$34)*('02_HW'!$C$7))*('02_HW'!$C$10)))+((1/('01_Inputs'!$E$49)))*('02_HW'!$C$9)*('02_HW'!$C$10))</x:f>
        <x:v>0.00007084972972972974</x:v>
      </x:c>
      <x:c r="E68" s="66" t="n">
        <x:f>(MAX((((1/('01_Inputs'!$E$49)))*(0)/(('01_Inputs'!$C$33)*('02_HW'!$C$6))*('02_HW'!$C$10)),(((1/('01_Inputs'!$E$49)))*(((('01_Inputs'!$D$65)*(1+('01_Inputs'!$F$49))*((('01_Inputs'!$B$49)*('01_Inputs'!$C$49)+('01_Inputs'!$C$49)*('01_Inputs'!$D$49)))*('01_Inputs'!$C$37)))+((('01_Inputs'!$D$65)*(1+('01_Inputs'!$F$49))*((('01_Inputs'!$B$49)*('01_Inputs'!$C$49)+('01_Inputs'!$C$49)*('01_Inputs'!$D$49)))*('01_Inputs'!$C$37)))+(0))/(('01_Inputs'!$C$34)*('02_HW'!$C$7))*('02_HW'!$C$10)))+((1/('01_Inputs'!$E$49)))*('02_HW'!$C$9)*('02_HW'!$C$10))</x:f>
        <x:v>0.00014169945945945948</x:v>
      </x:c>
      <x:c r="F68" s="66" t="n">
        <x:f>(MAX((((1/('01_Inputs'!$E$49)))*(0)/(('01_Inputs'!$C$33)*('02_HW'!$C$6))*('02_HW'!$C$10)),(((1/('01_Inputs'!$E$49)))*(((('01_Inputs'!$E$65)*(1+('01_Inputs'!$F$49))*((('01_Inputs'!$B$49)*('01_Inputs'!$C$49)+('01_Inputs'!$C$49)*('01_Inputs'!$D$49)))*('01_Inputs'!$C$37)))+((('01_Inputs'!$E$65)*(1+('01_Inputs'!$F$49))*((('01_Inputs'!$B$49)*('01_Inputs'!$C$49)+('01_Inputs'!$C$49)*('01_Inputs'!$D$49)))*('01_Inputs'!$C$37)))+(0))/(('01_Inputs'!$C$34)*('02_HW'!$C$7))*('02_HW'!$C$10)))+((1/('01_Inputs'!$E$49)))*('02_HW'!$C$9)*('02_HW'!$C$10))</x:f>
        <x:v>0.00028339891891891896</x:v>
      </x:c>
      <x:c r="G68" s="66" t="n">
        <x:f>(MAX((((1/('01_Inputs'!$E$49)))*(0)/(('01_Inputs'!$C$33)*('02_HW'!$C$6))*('02_HW'!$C$10)),(((1/('01_Inputs'!$E$49)))*(((('01_Inputs'!$F$65)*(1+('01_Inputs'!$F$49))*((('01_Inputs'!$B$49)*('01_Inputs'!$C$49)+('01_Inputs'!$C$49)*('01_Inputs'!$D$49)))*('01_Inputs'!$C$37)))+((('01_Inputs'!$F$65)*(1+('01_Inputs'!$F$49))*((('01_Inputs'!$B$49)*('01_Inputs'!$C$49)+('01_Inputs'!$C$49)*('01_Inputs'!$D$49)))*('01_Inputs'!$C$37)))+(0))/(('01_Inputs'!$C$34)*('02_HW'!$C$7))*('02_HW'!$C$10)))+((1/('01_Inputs'!$E$49)))*('02_HW'!$C$9)*('02_HW'!$C$10))</x:f>
        <x:v>0.0005667978378378379</x:v>
      </x:c>
      <x:c r="H68" s="66" t="n">
        <x:f>(MAX((((1/('01_Inputs'!$E$49)))*(0)/(('01_Inputs'!$C$33)*('02_HW'!$C$6))*('02_HW'!$C$10)),(((1/('01_Inputs'!$E$49)))*(((('01_Inputs'!$G$65)*(1+('01_Inputs'!$F$49))*((('01_Inputs'!$B$49)*('01_Inputs'!$C$49)+('01_Inputs'!$C$49)*('01_Inputs'!$D$49)))*('01_Inputs'!$C$37)))+((('01_Inputs'!$G$65)*(1+('01_Inputs'!$F$49))*((('01_Inputs'!$B$49)*('01_Inputs'!$C$49)+('01_Inputs'!$C$49)*('01_Inputs'!$D$49)))*('01_Inputs'!$C$37)))+(0))/(('01_Inputs'!$C$34)*('02_HW'!$C$7))*('02_HW'!$C$10)))+((1/('01_Inputs'!$E$49)))*('02_HW'!$C$9)*('02_HW'!$C$10))</x:f>
        <x:v>0.0011335956756756758</x:v>
      </x:c>
    </x:row>
    <x:row r="69">
      <x:c r="A69" s="21" t="str">
        <x:v>backward_update</x:v>
      </x:c>
      <x:c r="B69" s="21" t="str">
        <x:v>M_eta_weight_backward</x:v>
      </x:c>
      <x:c r="C69" s="66" t="n">
        <x:f>(MAX(((1)*((2*((('01_Inputs'!$B$65)*('01_Inputs'!$C$10)))*('01_Inputs'!$B$50)*('01_Inputs'!$C$50)+4*((('01_Inputs'!$B$65)*('01_Inputs'!$C$10)))*('01_Inputs'!$C$50)*('01_Inputs'!$D$50)))/(('01_Inputs'!$C$33)*('02_HW'!$C$6))*('02_HW'!$C$10)),((1)*(((((('01_Inputs'!$B$65)*('01_Inputs'!$C$10)))*(('01_Inputs'!$B$50)+('01_Inputs'!$C$50)+('01_Inputs'!$D$50))*('01_Inputs'!$C$16)))+(0)+((('01_Inputs'!$B$65)*((('01_Inputs'!$B$50)*('01_Inputs'!$C$50)+('01_Inputs'!$C$50)*('01_Inputs'!$D$50)))*('01_Inputs'!$C$38))))/(('01_Inputs'!$C$34)*('02_HW'!$C$7))*('02_HW'!$C$10)))+(1)*('02_HW'!$C$9)*('02_HW'!$C$10))</x:f>
        <x:v>0.03628170391891892</x:v>
      </x:c>
      <x:c r="D69" s="66" t="n">
        <x:f>(MAX(((1)*((2*((('01_Inputs'!$C$65)*('01_Inputs'!$C$10)))*('01_Inputs'!$B$50)*('01_Inputs'!$C$50)+4*((('01_Inputs'!$C$65)*('01_Inputs'!$C$10)))*('01_Inputs'!$C$50)*('01_Inputs'!$D$50)))/(('01_Inputs'!$C$33)*('02_HW'!$C$6))*('02_HW'!$C$10)),((1)*(((((('01_Inputs'!$C$65)*('01_Inputs'!$C$10)))*(('01_Inputs'!$B$50)+('01_Inputs'!$C$50)+('01_Inputs'!$D$50))*('01_Inputs'!$C$16)))+(0)+((('01_Inputs'!$C$65)*((('01_Inputs'!$B$50)*('01_Inputs'!$C$50)+('01_Inputs'!$C$50)*('01_Inputs'!$D$50)))*('01_Inputs'!$C$38))))/(('01_Inputs'!$C$34)*('02_HW'!$C$7))*('02_HW'!$C$10)))+(1)*('02_HW'!$C$9)*('02_HW'!$C$10))</x:f>
        <x:v>0.07256340783783784</x:v>
      </x:c>
      <x:c r="E69" s="66" t="n">
        <x:f>(MAX(((1)*((2*((('01_Inputs'!$D$65)*('01_Inputs'!$C$10)))*('01_Inputs'!$B$50)*('01_Inputs'!$C$50)+4*((('01_Inputs'!$D$65)*('01_Inputs'!$C$10)))*('01_Inputs'!$C$50)*('01_Inputs'!$D$50)))/(('01_Inputs'!$C$33)*('02_HW'!$C$6))*('02_HW'!$C$10)),((1)*(((((('01_Inputs'!$D$65)*('01_Inputs'!$C$10)))*(('01_Inputs'!$B$50)+('01_Inputs'!$C$50)+('01_Inputs'!$D$50))*('01_Inputs'!$C$16)))+(0)+((('01_Inputs'!$D$65)*((('01_Inputs'!$B$50)*('01_Inputs'!$C$50)+('01_Inputs'!$C$50)*('01_Inputs'!$D$50)))*('01_Inputs'!$C$38))))/(('01_Inputs'!$C$34)*('02_HW'!$C$7))*('02_HW'!$C$10)))+(1)*('02_HW'!$C$9)*('02_HW'!$C$10))</x:f>
        <x:v>0.14512681567567567</x:v>
      </x:c>
      <x:c r="F69" s="66" t="n">
        <x:f>(MAX(((1)*((2*((('01_Inputs'!$E$65)*('01_Inputs'!$C$10)))*('01_Inputs'!$B$50)*('01_Inputs'!$C$50)+4*((('01_Inputs'!$E$65)*('01_Inputs'!$C$10)))*('01_Inputs'!$C$50)*('01_Inputs'!$D$50)))/(('01_Inputs'!$C$33)*('02_HW'!$C$6))*('02_HW'!$C$10)),((1)*(((((('01_Inputs'!$E$65)*('01_Inputs'!$C$10)))*(('01_Inputs'!$B$50)+('01_Inputs'!$C$50)+('01_Inputs'!$D$50))*('01_Inputs'!$C$16)))+(0)+((('01_Inputs'!$E$65)*((('01_Inputs'!$B$50)*('01_Inputs'!$C$50)+('01_Inputs'!$C$50)*('01_Inputs'!$D$50)))*('01_Inputs'!$C$38))))/(('01_Inputs'!$C$34)*('02_HW'!$C$7))*('02_HW'!$C$10)))+(1)*('02_HW'!$C$9)*('02_HW'!$C$10))</x:f>
        <x:v>0.29025363135135135</x:v>
      </x:c>
      <x:c r="G69" s="66" t="n">
        <x:f>(MAX(((1)*((2*((('01_Inputs'!$F$65)*('01_Inputs'!$C$10)))*('01_Inputs'!$B$50)*('01_Inputs'!$C$50)+4*((('01_Inputs'!$F$65)*('01_Inputs'!$C$10)))*('01_Inputs'!$C$50)*('01_Inputs'!$D$50)))/(('01_Inputs'!$C$33)*('02_HW'!$C$6))*('02_HW'!$C$10)),((1)*(((((('01_Inputs'!$F$65)*('01_Inputs'!$C$10)))*(('01_Inputs'!$B$50)+('01_Inputs'!$C$50)+('01_Inputs'!$D$50))*('01_Inputs'!$C$16)))+(0)+((('01_Inputs'!$F$65)*((('01_Inputs'!$B$50)*('01_Inputs'!$C$50)+('01_Inputs'!$C$50)*('01_Inputs'!$D$50)))*('01_Inputs'!$C$38))))/(('01_Inputs'!$C$34)*('02_HW'!$C$7))*('02_HW'!$C$10)))+(1)*('02_HW'!$C$9)*('02_HW'!$C$10))</x:f>
        <x:v>0.5805072627027027</x:v>
      </x:c>
      <x:c r="H69" s="66" t="n">
        <x:f>(MAX(((1)*((2*((('01_Inputs'!$G$65)*('01_Inputs'!$C$10)))*('01_Inputs'!$B$50)*('01_Inputs'!$C$50)+4*((('01_Inputs'!$G$65)*('01_Inputs'!$C$10)))*('01_Inputs'!$C$50)*('01_Inputs'!$D$50)))/(('01_Inputs'!$C$33)*('02_HW'!$C$6))*('02_HW'!$C$10)),((1)*(((((('01_Inputs'!$G$65)*('01_Inputs'!$C$10)))*(('01_Inputs'!$B$50)+('01_Inputs'!$C$50)+('01_Inputs'!$D$50))*('01_Inputs'!$C$16)))+(0)+((('01_Inputs'!$G$65)*((('01_Inputs'!$B$50)*('01_Inputs'!$C$50)+('01_Inputs'!$C$50)*('01_Inputs'!$D$50)))*('01_Inputs'!$C$38))))/(('01_Inputs'!$C$34)*('02_HW'!$C$7))*('02_HW'!$C$10)))+(1)*('02_HW'!$C$9)*('02_HW'!$C$10))</x:f>
        <x:v>1.1610145254054054</x:v>
      </x:c>
    </x:row>
    <x:row r="70">
      <x:c r="A70" s="21" t="str">
        <x:v>backward_update</x:v>
      </x:c>
      <x:c r="B70" s="21" t="str">
        <x:v>M_eta_dgd_extra</x:v>
      </x:c>
      <x:c r="C70" s="66" t="n">
        <x:f>(MAX(((1)*((('01_Inputs'!$G$50)*((2*((('01_Inputs'!$B$65)*('01_Inputs'!$C$10)))*((('01_Inputs'!$B$50)*('01_Inputs'!$C$50)+('01_Inputs'!$C$50)*('01_Inputs'!$D$50)))+((('01_Inputs'!$B$65)*('01_Inputs'!$C$10)))*(('01_Inputs'!$C$39)*('01_Inputs'!$C$50)+('01_Inputs'!$C$40)*('01_Inputs'!$D$50))))-(2*((2*((('01_Inputs'!$B$65)*('01_Inputs'!$C$10)))*((('01_Inputs'!$B$50)*('01_Inputs'!$C$50)+('01_Inputs'!$C$50)*('01_Inputs'!$D$50)))+((('01_Inputs'!$B$65)*('01_Inputs'!$C$10)))*(('01_Inputs'!$C$39)*('01_Inputs'!$C$50)+('01_Inputs'!$C$40)*('01_Inputs'!$D$50))))+((2*((('01_Inputs'!$B$65)*('01_Inputs'!$C$10)))*('01_Inputs'!$B$50)*('01_Inputs'!$C$50)+4*((('01_Inputs'!$B$65)*('01_Inputs'!$C$10)))*('01_Inputs'!$C$50)*('01_Inputs'!$D$50))))))/(('01_Inputs'!$C$33)*('02_HW'!$C$6))*('02_HW'!$C$10)),((1)*(((('01_Inputs'!$B$65)*((('01_Inputs'!$B$50)*('01_Inputs'!$C$50)+('01_Inputs'!$C$50)*('01_Inputs'!$D$50)))*('01_Inputs'!$C$38)))+(0)+((('01_Inputs'!$B$65)*((('01_Inputs'!$B$50)*('01_Inputs'!$C$50)+('01_Inputs'!$C$50)*('01_Inputs'!$D$50)))*('01_Inputs'!$C$38))))/(('01_Inputs'!$C$34)*('02_HW'!$C$7))*('02_HW'!$C$10)))+(1)*('02_HW'!$C$9)*('02_HW'!$C$10))</x:f>
        <x:v>0.07255897945945945</x:v>
      </x:c>
      <x:c r="D70" s="66" t="n">
        <x:f>(MAX(((1)*((('01_Inputs'!$G$50)*((2*((('01_Inputs'!$C$65)*('01_Inputs'!$C$10)))*((('01_Inputs'!$B$50)*('01_Inputs'!$C$50)+('01_Inputs'!$C$50)*('01_Inputs'!$D$50)))+((('01_Inputs'!$C$65)*('01_Inputs'!$C$10)))*(('01_Inputs'!$C$39)*('01_Inputs'!$C$50)+('01_Inputs'!$C$40)*('01_Inputs'!$D$50))))-(2*((2*((('01_Inputs'!$C$65)*('01_Inputs'!$C$10)))*((('01_Inputs'!$B$50)*('01_Inputs'!$C$50)+('01_Inputs'!$C$50)*('01_Inputs'!$D$50)))+((('01_Inputs'!$C$65)*('01_Inputs'!$C$10)))*(('01_Inputs'!$C$39)*('01_Inputs'!$C$50)+('01_Inputs'!$C$40)*('01_Inputs'!$D$50))))+((2*((('01_Inputs'!$C$65)*('01_Inputs'!$C$10)))*('01_Inputs'!$B$50)*('01_Inputs'!$C$50)+4*((('01_Inputs'!$C$65)*('01_Inputs'!$C$10)))*('01_Inputs'!$C$50)*('01_Inputs'!$D$50))))))/(('01_Inputs'!$C$33)*('02_HW'!$C$6))*('02_HW'!$C$10)),((1)*(((('01_Inputs'!$C$65)*((('01_Inputs'!$B$50)*('01_Inputs'!$C$50)+('01_Inputs'!$C$50)*('01_Inputs'!$D$50)))*('01_Inputs'!$C$38)))+(0)+((('01_Inputs'!$C$65)*((('01_Inputs'!$B$50)*('01_Inputs'!$C$50)+('01_Inputs'!$C$50)*('01_Inputs'!$D$50)))*('01_Inputs'!$C$38))))/(('01_Inputs'!$C$34)*('02_HW'!$C$7))*('02_HW'!$C$10)))+(1)*('02_HW'!$C$9)*('02_HW'!$C$10))</x:f>
        <x:v>0.1451179589189189</x:v>
      </x:c>
      <x:c r="E70" s="66" t="n">
        <x:f>(MAX(((1)*((('01_Inputs'!$G$50)*((2*((('01_Inputs'!$D$65)*('01_Inputs'!$C$10)))*((('01_Inputs'!$B$50)*('01_Inputs'!$C$50)+('01_Inputs'!$C$50)*('01_Inputs'!$D$50)))+((('01_Inputs'!$D$65)*('01_Inputs'!$C$10)))*(('01_Inputs'!$C$39)*('01_Inputs'!$C$50)+('01_Inputs'!$C$40)*('01_Inputs'!$D$50))))-(2*((2*((('01_Inputs'!$D$65)*('01_Inputs'!$C$10)))*((('01_Inputs'!$B$50)*('01_Inputs'!$C$50)+('01_Inputs'!$C$50)*('01_Inputs'!$D$50)))+((('01_Inputs'!$D$65)*('01_Inputs'!$C$10)))*(('01_Inputs'!$C$39)*('01_Inputs'!$C$50)+('01_Inputs'!$C$40)*('01_Inputs'!$D$50))))+((2*((('01_Inputs'!$D$65)*('01_Inputs'!$C$10)))*('01_Inputs'!$B$50)*('01_Inputs'!$C$50)+4*((('01_Inputs'!$D$65)*('01_Inputs'!$C$10)))*('01_Inputs'!$C$50)*('01_Inputs'!$D$50))))))/(('01_Inputs'!$C$33)*('02_HW'!$C$6))*('02_HW'!$C$10)),((1)*(((('01_Inputs'!$D$65)*((('01_Inputs'!$B$50)*('01_Inputs'!$C$50)+('01_Inputs'!$C$50)*('01_Inputs'!$D$50)))*('01_Inputs'!$C$38)))+(0)+((('01_Inputs'!$D$65)*((('01_Inputs'!$B$50)*('01_Inputs'!$C$50)+('01_Inputs'!$C$50)*('01_Inputs'!$D$50)))*('01_Inputs'!$C$38))))/(('01_Inputs'!$C$34)*('02_HW'!$C$7))*('02_HW'!$C$10)))+(1)*('02_HW'!$C$9)*('02_HW'!$C$10))</x:f>
        <x:v>0.2902359178378378</x:v>
      </x:c>
      <x:c r="F70" s="66" t="n">
        <x:f>(MAX(((1)*((('01_Inputs'!$G$50)*((2*((('01_Inputs'!$E$65)*('01_Inputs'!$C$10)))*((('01_Inputs'!$B$50)*('01_Inputs'!$C$50)+('01_Inputs'!$C$50)*('01_Inputs'!$D$50)))+((('01_Inputs'!$E$65)*('01_Inputs'!$C$10)))*(('01_Inputs'!$C$39)*('01_Inputs'!$C$50)+('01_Inputs'!$C$40)*('01_Inputs'!$D$50))))-(2*((2*((('01_Inputs'!$E$65)*('01_Inputs'!$C$10)))*((('01_Inputs'!$B$50)*('01_Inputs'!$C$50)+('01_Inputs'!$C$50)*('01_Inputs'!$D$50)))+((('01_Inputs'!$E$65)*('01_Inputs'!$C$10)))*(('01_Inputs'!$C$39)*('01_Inputs'!$C$50)+('01_Inputs'!$C$40)*('01_Inputs'!$D$50))))+((2*((('01_Inputs'!$E$65)*('01_Inputs'!$C$10)))*('01_Inputs'!$B$50)*('01_Inputs'!$C$50)+4*((('01_Inputs'!$E$65)*('01_Inputs'!$C$10)))*('01_Inputs'!$C$50)*('01_Inputs'!$D$50))))))/(('01_Inputs'!$C$33)*('02_HW'!$C$6))*('02_HW'!$C$10)),((1)*(((('01_Inputs'!$E$65)*((('01_Inputs'!$B$50)*('01_Inputs'!$C$50)+('01_Inputs'!$C$50)*('01_Inputs'!$D$50)))*('01_Inputs'!$C$38)))+(0)+((('01_Inputs'!$E$65)*((('01_Inputs'!$B$50)*('01_Inputs'!$C$50)+('01_Inputs'!$C$50)*('01_Inputs'!$D$50)))*('01_Inputs'!$C$38))))/(('01_Inputs'!$C$34)*('02_HW'!$C$7))*('02_HW'!$C$10)))+(1)*('02_HW'!$C$9)*('02_HW'!$C$10))</x:f>
        <x:v>0.5804718356756756</x:v>
      </x:c>
      <x:c r="G70" s="66" t="n">
        <x:f>(MAX(((1)*((('01_Inputs'!$G$50)*((2*((('01_Inputs'!$F$65)*('01_Inputs'!$C$10)))*((('01_Inputs'!$B$50)*('01_Inputs'!$C$50)+('01_Inputs'!$C$50)*('01_Inputs'!$D$50)))+((('01_Inputs'!$F$65)*('01_Inputs'!$C$10)))*(('01_Inputs'!$C$39)*('01_Inputs'!$C$50)+('01_Inputs'!$C$40)*('01_Inputs'!$D$50))))-(2*((2*((('01_Inputs'!$F$65)*('01_Inputs'!$C$10)))*((('01_Inputs'!$B$50)*('01_Inputs'!$C$50)+('01_Inputs'!$C$50)*('01_Inputs'!$D$50)))+((('01_Inputs'!$F$65)*('01_Inputs'!$C$10)))*(('01_Inputs'!$C$39)*('01_Inputs'!$C$50)+('01_Inputs'!$C$40)*('01_Inputs'!$D$50))))+((2*((('01_Inputs'!$F$65)*('01_Inputs'!$C$10)))*('01_Inputs'!$B$50)*('01_Inputs'!$C$50)+4*((('01_Inputs'!$F$65)*('01_Inputs'!$C$10)))*('01_Inputs'!$C$50)*('01_Inputs'!$D$50))))))/(('01_Inputs'!$C$33)*('02_HW'!$C$6))*('02_HW'!$C$10)),((1)*(((('01_Inputs'!$F$65)*((('01_Inputs'!$B$50)*('01_Inputs'!$C$50)+('01_Inputs'!$C$50)*('01_Inputs'!$D$50)))*('01_Inputs'!$C$38)))+(0)+((('01_Inputs'!$F$65)*((('01_Inputs'!$B$50)*('01_Inputs'!$C$50)+('01_Inputs'!$C$50)*('01_Inputs'!$D$50)))*('01_Inputs'!$C$38))))/(('01_Inputs'!$C$34)*('02_HW'!$C$7))*('02_HW'!$C$10)))+(1)*('02_HW'!$C$9)*('02_HW'!$C$10))</x:f>
        <x:v>1.1609436713513512</x:v>
      </x:c>
      <x:c r="H70" s="66" t="n">
        <x:f>(MAX(((1)*((('01_Inputs'!$G$50)*((2*((('01_Inputs'!$G$65)*('01_Inputs'!$C$10)))*((('01_Inputs'!$B$50)*('01_Inputs'!$C$50)+('01_Inputs'!$C$50)*('01_Inputs'!$D$50)))+((('01_Inputs'!$G$65)*('01_Inputs'!$C$10)))*(('01_Inputs'!$C$39)*('01_Inputs'!$C$50)+('01_Inputs'!$C$40)*('01_Inputs'!$D$50))))-(2*((2*((('01_Inputs'!$G$65)*('01_Inputs'!$C$10)))*((('01_Inputs'!$B$50)*('01_Inputs'!$C$50)+('01_Inputs'!$C$50)*('01_Inputs'!$D$50)))+((('01_Inputs'!$G$65)*('01_Inputs'!$C$10)))*(('01_Inputs'!$C$39)*('01_Inputs'!$C$50)+('01_Inputs'!$C$40)*('01_Inputs'!$D$50))))+((2*((('01_Inputs'!$G$65)*('01_Inputs'!$C$10)))*('01_Inputs'!$B$50)*('01_Inputs'!$C$50)+4*((('01_Inputs'!$G$65)*('01_Inputs'!$C$10)))*('01_Inputs'!$C$50)*('01_Inputs'!$D$50))))))/(('01_Inputs'!$C$33)*('02_HW'!$C$6))*('02_HW'!$C$10)),((1)*(((('01_Inputs'!$G$65)*((('01_Inputs'!$B$50)*('01_Inputs'!$C$50)+('01_Inputs'!$C$50)*('01_Inputs'!$D$50)))*('01_Inputs'!$C$38)))+(0)+((('01_Inputs'!$G$65)*((('01_Inputs'!$B$50)*('01_Inputs'!$C$50)+('01_Inputs'!$C$50)*('01_Inputs'!$D$50)))*('01_Inputs'!$C$38))))/(('01_Inputs'!$C$34)*('02_HW'!$C$7))*('02_HW'!$C$10)))+(1)*('02_HW'!$C$9)*('02_HW'!$C$10))</x:f>
        <x:v>2.3218873427027025</x:v>
      </x:c>
    </x:row>
    <x:row r="71">
      <x:c r="A71" s="21" t="str">
        <x:v>backward_update</x:v>
      </x:c>
      <x:c r="B71" s="21" t="str">
        <x:v>M_eta_state_apply</x:v>
      </x:c>
      <x:c r="C71" s="66" t="n">
        <x:f>(MAX((((1/('01_Inputs'!$E$50)))*(0)/(('01_Inputs'!$C$33)*('02_HW'!$C$6))*('02_HW'!$C$10)),(((1/('01_Inputs'!$E$50)))*(((('01_Inputs'!$B$65)*(1+('01_Inputs'!$F$50))*((('01_Inputs'!$B$50)*('01_Inputs'!$C$50)+('01_Inputs'!$C$50)*('01_Inputs'!$D$50)))*('01_Inputs'!$C$37)))+((('01_Inputs'!$B$65)*(1+('01_Inputs'!$F$50))*((('01_Inputs'!$B$50)*('01_Inputs'!$C$50)+('01_Inputs'!$C$50)*('01_Inputs'!$D$50)))*('01_Inputs'!$C$37)))+(0))/(('01_Inputs'!$C$34)*('02_HW'!$C$7))*('02_HW'!$C$10)))+((1/('01_Inputs'!$E$50)))*('02_HW'!$C$9)*('02_HW'!$C$10))</x:f>
        <x:v>0.000017714594594594593</x:v>
      </x:c>
      <x:c r="D71" s="66" t="n">
        <x:f>(MAX((((1/('01_Inputs'!$E$50)))*(0)/(('01_Inputs'!$C$33)*('02_HW'!$C$6))*('02_HW'!$C$10)),(((1/('01_Inputs'!$E$50)))*(((('01_Inputs'!$C$65)*(1+('01_Inputs'!$F$50))*((('01_Inputs'!$B$50)*('01_Inputs'!$C$50)+('01_Inputs'!$C$50)*('01_Inputs'!$D$50)))*('01_Inputs'!$C$37)))+((('01_Inputs'!$C$65)*(1+('01_Inputs'!$F$50))*((('01_Inputs'!$B$50)*('01_Inputs'!$C$50)+('01_Inputs'!$C$50)*('01_Inputs'!$D$50)))*('01_Inputs'!$C$37)))+(0))/(('01_Inputs'!$C$34)*('02_HW'!$C$7))*('02_HW'!$C$10)))+((1/('01_Inputs'!$E$50)))*('02_HW'!$C$9)*('02_HW'!$C$10))</x:f>
        <x:v>0.000035429189189189186</x:v>
      </x:c>
      <x:c r="E71" s="66" t="n">
        <x:f>(MAX((((1/('01_Inputs'!$E$50)))*(0)/(('01_Inputs'!$C$33)*('02_HW'!$C$6))*('02_HW'!$C$10)),(((1/('01_Inputs'!$E$50)))*(((('01_Inputs'!$D$65)*(1+('01_Inputs'!$F$50))*((('01_Inputs'!$B$50)*('01_Inputs'!$C$50)+('01_Inputs'!$C$50)*('01_Inputs'!$D$50)))*('01_Inputs'!$C$37)))+((('01_Inputs'!$D$65)*(1+('01_Inputs'!$F$50))*((('01_Inputs'!$B$50)*('01_Inputs'!$C$50)+('01_Inputs'!$C$50)*('01_Inputs'!$D$50)))*('01_Inputs'!$C$37)))+(0))/(('01_Inputs'!$C$34)*('02_HW'!$C$7))*('02_HW'!$C$10)))+((1/('01_Inputs'!$E$50)))*('02_HW'!$C$9)*('02_HW'!$C$10))</x:f>
        <x:v>0.00007085837837837837</x:v>
      </x:c>
      <x:c r="F71" s="66" t="n">
        <x:f>(MAX((((1/('01_Inputs'!$E$50)))*(0)/(('01_Inputs'!$C$33)*('02_HW'!$C$6))*('02_HW'!$C$10)),(((1/('01_Inputs'!$E$50)))*(((('01_Inputs'!$E$65)*(1+('01_Inputs'!$F$50))*((('01_Inputs'!$B$50)*('01_Inputs'!$C$50)+('01_Inputs'!$C$50)*('01_Inputs'!$D$50)))*('01_Inputs'!$C$37)))+((('01_Inputs'!$E$65)*(1+('01_Inputs'!$F$50))*((('01_Inputs'!$B$50)*('01_Inputs'!$C$50)+('01_Inputs'!$C$50)*('01_Inputs'!$D$50)))*('01_Inputs'!$C$37)))+(0))/(('01_Inputs'!$C$34)*('02_HW'!$C$7))*('02_HW'!$C$10)))+((1/('01_Inputs'!$E$50)))*('02_HW'!$C$9)*('02_HW'!$C$10))</x:f>
        <x:v>0.00014171675675675674</x:v>
      </x:c>
      <x:c r="G71" s="66" t="n">
        <x:f>(MAX((((1/('01_Inputs'!$E$50)))*(0)/(('01_Inputs'!$C$33)*('02_HW'!$C$6))*('02_HW'!$C$10)),(((1/('01_Inputs'!$E$50)))*(((('01_Inputs'!$F$65)*(1+('01_Inputs'!$F$50))*((('01_Inputs'!$B$50)*('01_Inputs'!$C$50)+('01_Inputs'!$C$50)*('01_Inputs'!$D$50)))*('01_Inputs'!$C$37)))+((('01_Inputs'!$F$65)*(1+('01_Inputs'!$F$50))*((('01_Inputs'!$B$50)*('01_Inputs'!$C$50)+('01_Inputs'!$C$50)*('01_Inputs'!$D$50)))*('01_Inputs'!$C$37)))+(0))/(('01_Inputs'!$C$34)*('02_HW'!$C$7))*('02_HW'!$C$10)))+((1/('01_Inputs'!$E$50)))*('02_HW'!$C$9)*('02_HW'!$C$10))</x:f>
        <x:v>0.0002834335135135135</x:v>
      </x:c>
      <x:c r="H71" s="66" t="n">
        <x:f>(MAX((((1/('01_Inputs'!$E$50)))*(0)/(('01_Inputs'!$C$33)*('02_HW'!$C$6))*('02_HW'!$C$10)),(((1/('01_Inputs'!$E$50)))*(((('01_Inputs'!$G$65)*(1+('01_Inputs'!$F$50))*((('01_Inputs'!$B$50)*('01_Inputs'!$C$50)+('01_Inputs'!$C$50)*('01_Inputs'!$D$50)))*('01_Inputs'!$C$37)))+((('01_Inputs'!$G$65)*(1+('01_Inputs'!$F$50))*((('01_Inputs'!$B$50)*('01_Inputs'!$C$50)+('01_Inputs'!$C$50)*('01_Inputs'!$D$50)))*('01_Inputs'!$C$37)))+(0))/(('01_Inputs'!$C$34)*('02_HW'!$C$7))*('02_HW'!$C$10)))+((1/('01_Inputs'!$E$50)))*('02_HW'!$C$9)*('02_HW'!$C$10))</x:f>
        <x:v>0.000566867027027027</x:v>
      </x:c>
    </x:row>
    <x:row r="72">
      <x:c r="A72" s="21" t="str">
        <x:v>backward_update</x:v>
      </x:c>
      <x:c r="B72" s="21" t="str">
        <x:v>M_alpha_weight_backward</x:v>
      </x:c>
      <x:c r="C72" s="66" t="n">
        <x:f>(MAX(((1)*((2*((('01_Inputs'!$B$65)*('01_Inputs'!$C$10)))*('01_Inputs'!$B$51)*('01_Inputs'!$C$51)+4*((('01_Inputs'!$B$65)*('01_Inputs'!$C$10)))*('01_Inputs'!$C$51)*('01_Inputs'!$D$51)))/(('01_Inputs'!$C$33)*('02_HW'!$C$6))*('02_HW'!$C$10)),((1)*(((((('01_Inputs'!$B$65)*('01_Inputs'!$C$10)))*(('01_Inputs'!$B$51)+('01_Inputs'!$C$51)+('01_Inputs'!$D$51))*('01_Inputs'!$C$16)))+(0)+((('01_Inputs'!$B$65)*((('01_Inputs'!$B$51)*('01_Inputs'!$C$51)+('01_Inputs'!$C$51)*('01_Inputs'!$D$51)))*('01_Inputs'!$C$38))))/(('01_Inputs'!$C$34)*('02_HW'!$C$7))*('02_HW'!$C$10)))+(1)*('02_HW'!$C$9)*('02_HW'!$C$10))</x:f>
        <x:v>0.03628170391891892</x:v>
      </x:c>
      <x:c r="D72" s="66" t="n">
        <x:f>(MAX(((1)*((2*((('01_Inputs'!$C$65)*('01_Inputs'!$C$10)))*('01_Inputs'!$B$51)*('01_Inputs'!$C$51)+4*((('01_Inputs'!$C$65)*('01_Inputs'!$C$10)))*('01_Inputs'!$C$51)*('01_Inputs'!$D$51)))/(('01_Inputs'!$C$33)*('02_HW'!$C$6))*('02_HW'!$C$10)),((1)*(((((('01_Inputs'!$C$65)*('01_Inputs'!$C$10)))*(('01_Inputs'!$B$51)+('01_Inputs'!$C$51)+('01_Inputs'!$D$51))*('01_Inputs'!$C$16)))+(0)+((('01_Inputs'!$C$65)*((('01_Inputs'!$B$51)*('01_Inputs'!$C$51)+('01_Inputs'!$C$51)*('01_Inputs'!$D$51)))*('01_Inputs'!$C$38))))/(('01_Inputs'!$C$34)*('02_HW'!$C$7))*('02_HW'!$C$10)))+(1)*('02_HW'!$C$9)*('02_HW'!$C$10))</x:f>
        <x:v>0.07256340783783784</x:v>
      </x:c>
      <x:c r="E72" s="66" t="n">
        <x:f>(MAX(((1)*((2*((('01_Inputs'!$D$65)*('01_Inputs'!$C$10)))*('01_Inputs'!$B$51)*('01_Inputs'!$C$51)+4*((('01_Inputs'!$D$65)*('01_Inputs'!$C$10)))*('01_Inputs'!$C$51)*('01_Inputs'!$D$51)))/(('01_Inputs'!$C$33)*('02_HW'!$C$6))*('02_HW'!$C$10)),((1)*(((((('01_Inputs'!$D$65)*('01_Inputs'!$C$10)))*(('01_Inputs'!$B$51)+('01_Inputs'!$C$51)+('01_Inputs'!$D$51))*('01_Inputs'!$C$16)))+(0)+((('01_Inputs'!$D$65)*((('01_Inputs'!$B$51)*('01_Inputs'!$C$51)+('01_Inputs'!$C$51)*('01_Inputs'!$D$51)))*('01_Inputs'!$C$38))))/(('01_Inputs'!$C$34)*('02_HW'!$C$7))*('02_HW'!$C$10)))+(1)*('02_HW'!$C$9)*('02_HW'!$C$10))</x:f>
        <x:v>0.14512681567567567</x:v>
      </x:c>
      <x:c r="F72" s="66" t="n">
        <x:f>(MAX(((1)*((2*((('01_Inputs'!$E$65)*('01_Inputs'!$C$10)))*('01_Inputs'!$B$51)*('01_Inputs'!$C$51)+4*((('01_Inputs'!$E$65)*('01_Inputs'!$C$10)))*('01_Inputs'!$C$51)*('01_Inputs'!$D$51)))/(('01_Inputs'!$C$33)*('02_HW'!$C$6))*('02_HW'!$C$10)),((1)*(((((('01_Inputs'!$E$65)*('01_Inputs'!$C$10)))*(('01_Inputs'!$B$51)+('01_Inputs'!$C$51)+('01_Inputs'!$D$51))*('01_Inputs'!$C$16)))+(0)+((('01_Inputs'!$E$65)*((('01_Inputs'!$B$51)*('01_Inputs'!$C$51)+('01_Inputs'!$C$51)*('01_Inputs'!$D$51)))*('01_Inputs'!$C$38))))/(('01_Inputs'!$C$34)*('02_HW'!$C$7))*('02_HW'!$C$10)))+(1)*('02_HW'!$C$9)*('02_HW'!$C$10))</x:f>
        <x:v>0.29025363135135135</x:v>
      </x:c>
      <x:c r="G72" s="66" t="n">
        <x:f>(MAX(((1)*((2*((('01_Inputs'!$F$65)*('01_Inputs'!$C$10)))*('01_Inputs'!$B$51)*('01_Inputs'!$C$51)+4*((('01_Inputs'!$F$65)*('01_Inputs'!$C$10)))*('01_Inputs'!$C$51)*('01_Inputs'!$D$51)))/(('01_Inputs'!$C$33)*('02_HW'!$C$6))*('02_HW'!$C$10)),((1)*(((((('01_Inputs'!$F$65)*('01_Inputs'!$C$10)))*(('01_Inputs'!$B$51)+('01_Inputs'!$C$51)+('01_Inputs'!$D$51))*('01_Inputs'!$C$16)))+(0)+((('01_Inputs'!$F$65)*((('01_Inputs'!$B$51)*('01_Inputs'!$C$51)+('01_Inputs'!$C$51)*('01_Inputs'!$D$51)))*('01_Inputs'!$C$38))))/(('01_Inputs'!$C$34)*('02_HW'!$C$7))*('02_HW'!$C$10)))+(1)*('02_HW'!$C$9)*('02_HW'!$C$10))</x:f>
        <x:v>0.5805072627027027</x:v>
      </x:c>
      <x:c r="H72" s="66" t="n">
        <x:f>(MAX(((1)*((2*((('01_Inputs'!$G$65)*('01_Inputs'!$C$10)))*('01_Inputs'!$B$51)*('01_Inputs'!$C$51)+4*((('01_Inputs'!$G$65)*('01_Inputs'!$C$10)))*('01_Inputs'!$C$51)*('01_Inputs'!$D$51)))/(('01_Inputs'!$C$33)*('02_HW'!$C$6))*('02_HW'!$C$10)),((1)*(((((('01_Inputs'!$G$65)*('01_Inputs'!$C$10)))*(('01_Inputs'!$B$51)+('01_Inputs'!$C$51)+('01_Inputs'!$D$51))*('01_Inputs'!$C$16)))+(0)+((('01_Inputs'!$G$65)*((('01_Inputs'!$B$51)*('01_Inputs'!$C$51)+('01_Inputs'!$C$51)*('01_Inputs'!$D$51)))*('01_Inputs'!$C$38))))/(('01_Inputs'!$C$34)*('02_HW'!$C$7))*('02_HW'!$C$10)))+(1)*('02_HW'!$C$9)*('02_HW'!$C$10))</x:f>
        <x:v>1.1610145254054054</x:v>
      </x:c>
    </x:row>
    <x:row r="73">
      <x:c r="A73" s="21" t="str">
        <x:v>backward_update</x:v>
      </x:c>
      <x:c r="B73" s="21" t="str">
        <x:v>M_alpha_dgd_extra</x:v>
      </x:c>
      <x:c r="C73" s="66" t="n">
        <x:f>(MAX(((1)*((('01_Inputs'!$G$51)*((2*((('01_Inputs'!$B$65)*('01_Inputs'!$C$10)))*((('01_Inputs'!$B$51)*('01_Inputs'!$C$51)+('01_Inputs'!$C$51)*('01_Inputs'!$D$51)))+((('01_Inputs'!$B$65)*('01_Inputs'!$C$10)))*(('01_Inputs'!$C$39)*('01_Inputs'!$C$51)+('01_Inputs'!$C$40)*('01_Inputs'!$D$51))))-(2*((2*((('01_Inputs'!$B$65)*('01_Inputs'!$C$10)))*((('01_Inputs'!$B$51)*('01_Inputs'!$C$51)+('01_Inputs'!$C$51)*('01_Inputs'!$D$51)))+((('01_Inputs'!$B$65)*('01_Inputs'!$C$10)))*(('01_Inputs'!$C$39)*('01_Inputs'!$C$51)+('01_Inputs'!$C$40)*('01_Inputs'!$D$51))))+((2*((('01_Inputs'!$B$65)*('01_Inputs'!$C$10)))*('01_Inputs'!$B$51)*('01_Inputs'!$C$51)+4*((('01_Inputs'!$B$65)*('01_Inputs'!$C$10)))*('01_Inputs'!$C$51)*('01_Inputs'!$D$51))))))/(('01_Inputs'!$C$33)*('02_HW'!$C$6))*('02_HW'!$C$10)),((1)*(((('01_Inputs'!$B$65)*((('01_Inputs'!$B$51)*('01_Inputs'!$C$51)+('01_Inputs'!$C$51)*('01_Inputs'!$D$51)))*('01_Inputs'!$C$38)))+(0)+((('01_Inputs'!$B$65)*((('01_Inputs'!$B$51)*('01_Inputs'!$C$51)+('01_Inputs'!$C$51)*('01_Inputs'!$D$51)))*('01_Inputs'!$C$38))))/(('01_Inputs'!$C$34)*('02_HW'!$C$7))*('02_HW'!$C$10)))+(1)*('02_HW'!$C$9)*('02_HW'!$C$10))</x:f>
        <x:v>0.07255897945945945</x:v>
      </x:c>
      <x:c r="D73" s="66" t="n">
        <x:f>(MAX(((1)*((('01_Inputs'!$G$51)*((2*((('01_Inputs'!$C$65)*('01_Inputs'!$C$10)))*((('01_Inputs'!$B$51)*('01_Inputs'!$C$51)+('01_Inputs'!$C$51)*('01_Inputs'!$D$51)))+((('01_Inputs'!$C$65)*('01_Inputs'!$C$10)))*(('01_Inputs'!$C$39)*('01_Inputs'!$C$51)+('01_Inputs'!$C$40)*('01_Inputs'!$D$51))))-(2*((2*((('01_Inputs'!$C$65)*('01_Inputs'!$C$10)))*((('01_Inputs'!$B$51)*('01_Inputs'!$C$51)+('01_Inputs'!$C$51)*('01_Inputs'!$D$51)))+((('01_Inputs'!$C$65)*('01_Inputs'!$C$10)))*(('01_Inputs'!$C$39)*('01_Inputs'!$C$51)+('01_Inputs'!$C$40)*('01_Inputs'!$D$51))))+((2*((('01_Inputs'!$C$65)*('01_Inputs'!$C$10)))*('01_Inputs'!$B$51)*('01_Inputs'!$C$51)+4*((('01_Inputs'!$C$65)*('01_Inputs'!$C$10)))*('01_Inputs'!$C$51)*('01_Inputs'!$D$51))))))/(('01_Inputs'!$C$33)*('02_HW'!$C$6))*('02_HW'!$C$10)),((1)*(((('01_Inputs'!$C$65)*((('01_Inputs'!$B$51)*('01_Inputs'!$C$51)+('01_Inputs'!$C$51)*('01_Inputs'!$D$51)))*('01_Inputs'!$C$38)))+(0)+((('01_Inputs'!$C$65)*((('01_Inputs'!$B$51)*('01_Inputs'!$C$51)+('01_Inputs'!$C$51)*('01_Inputs'!$D$51)))*('01_Inputs'!$C$38))))/(('01_Inputs'!$C$34)*('02_HW'!$C$7))*('02_HW'!$C$10)))+(1)*('02_HW'!$C$9)*('02_HW'!$C$10))</x:f>
        <x:v>0.1451179589189189</x:v>
      </x:c>
      <x:c r="E73" s="66" t="n">
        <x:f>(MAX(((1)*((('01_Inputs'!$G$51)*((2*((('01_Inputs'!$D$65)*('01_Inputs'!$C$10)))*((('01_Inputs'!$B$51)*('01_Inputs'!$C$51)+('01_Inputs'!$C$51)*('01_Inputs'!$D$51)))+((('01_Inputs'!$D$65)*('01_Inputs'!$C$10)))*(('01_Inputs'!$C$39)*('01_Inputs'!$C$51)+('01_Inputs'!$C$40)*('01_Inputs'!$D$51))))-(2*((2*((('01_Inputs'!$D$65)*('01_Inputs'!$C$10)))*((('01_Inputs'!$B$51)*('01_Inputs'!$C$51)+('01_Inputs'!$C$51)*('01_Inputs'!$D$51)))+((('01_Inputs'!$D$65)*('01_Inputs'!$C$10)))*(('01_Inputs'!$C$39)*('01_Inputs'!$C$51)+('01_Inputs'!$C$40)*('01_Inputs'!$D$51))))+((2*((('01_Inputs'!$D$65)*('01_Inputs'!$C$10)))*('01_Inputs'!$B$51)*('01_Inputs'!$C$51)+4*((('01_Inputs'!$D$65)*('01_Inputs'!$C$10)))*('01_Inputs'!$C$51)*('01_Inputs'!$D$51))))))/(('01_Inputs'!$C$33)*('02_HW'!$C$6))*('02_HW'!$C$10)),((1)*(((('01_Inputs'!$D$65)*((('01_Inputs'!$B$51)*('01_Inputs'!$C$51)+('01_Inputs'!$C$51)*('01_Inputs'!$D$51)))*('01_Inputs'!$C$38)))+(0)+((('01_Inputs'!$D$65)*((('01_Inputs'!$B$51)*('01_Inputs'!$C$51)+('01_Inputs'!$C$51)*('01_Inputs'!$D$51)))*('01_Inputs'!$C$38))))/(('01_Inputs'!$C$34)*('02_HW'!$C$7))*('02_HW'!$C$10)))+(1)*('02_HW'!$C$9)*('02_HW'!$C$10))</x:f>
        <x:v>0.2902359178378378</x:v>
      </x:c>
      <x:c r="F73" s="66" t="n">
        <x:f>(MAX(((1)*((('01_Inputs'!$G$51)*((2*((('01_Inputs'!$E$65)*('01_Inputs'!$C$10)))*((('01_Inputs'!$B$51)*('01_Inputs'!$C$51)+('01_Inputs'!$C$51)*('01_Inputs'!$D$51)))+((('01_Inputs'!$E$65)*('01_Inputs'!$C$10)))*(('01_Inputs'!$C$39)*('01_Inputs'!$C$51)+('01_Inputs'!$C$40)*('01_Inputs'!$D$51))))-(2*((2*((('01_Inputs'!$E$65)*('01_Inputs'!$C$10)))*((('01_Inputs'!$B$51)*('01_Inputs'!$C$51)+('01_Inputs'!$C$51)*('01_Inputs'!$D$51)))+((('01_Inputs'!$E$65)*('01_Inputs'!$C$10)))*(('01_Inputs'!$C$39)*('01_Inputs'!$C$51)+('01_Inputs'!$C$40)*('01_Inputs'!$D$51))))+((2*((('01_Inputs'!$E$65)*('01_Inputs'!$C$10)))*('01_Inputs'!$B$51)*('01_Inputs'!$C$51)+4*((('01_Inputs'!$E$65)*('01_Inputs'!$C$10)))*('01_Inputs'!$C$51)*('01_Inputs'!$D$51))))))/(('01_Inputs'!$C$33)*('02_HW'!$C$6))*('02_HW'!$C$10)),((1)*(((('01_Inputs'!$E$65)*((('01_Inputs'!$B$51)*('01_Inputs'!$C$51)+('01_Inputs'!$C$51)*('01_Inputs'!$D$51)))*('01_Inputs'!$C$38)))+(0)+((('01_Inputs'!$E$65)*((('01_Inputs'!$B$51)*('01_Inputs'!$C$51)+('01_Inputs'!$C$51)*('01_Inputs'!$D$51)))*('01_Inputs'!$C$38))))/(('01_Inputs'!$C$34)*('02_HW'!$C$7))*('02_HW'!$C$10)))+(1)*('02_HW'!$C$9)*('02_HW'!$C$10))</x:f>
        <x:v>0.5804718356756756</x:v>
      </x:c>
      <x:c r="G73" s="66" t="n">
        <x:f>(MAX(((1)*((('01_Inputs'!$G$51)*((2*((('01_Inputs'!$F$65)*('01_Inputs'!$C$10)))*((('01_Inputs'!$B$51)*('01_Inputs'!$C$51)+('01_Inputs'!$C$51)*('01_Inputs'!$D$51)))+((('01_Inputs'!$F$65)*('01_Inputs'!$C$10)))*(('01_Inputs'!$C$39)*('01_Inputs'!$C$51)+('01_Inputs'!$C$40)*('01_Inputs'!$D$51))))-(2*((2*((('01_Inputs'!$F$65)*('01_Inputs'!$C$10)))*((('01_Inputs'!$B$51)*('01_Inputs'!$C$51)+('01_Inputs'!$C$51)*('01_Inputs'!$D$51)))+((('01_Inputs'!$F$65)*('01_Inputs'!$C$10)))*(('01_Inputs'!$C$39)*('01_Inputs'!$C$51)+('01_Inputs'!$C$40)*('01_Inputs'!$D$51))))+((2*((('01_Inputs'!$F$65)*('01_Inputs'!$C$10)))*('01_Inputs'!$B$51)*('01_Inputs'!$C$51)+4*((('01_Inputs'!$F$65)*('01_Inputs'!$C$10)))*('01_Inputs'!$C$51)*('01_Inputs'!$D$51))))))/(('01_Inputs'!$C$33)*('02_HW'!$C$6))*('02_HW'!$C$10)),((1)*(((('01_Inputs'!$F$65)*((('01_Inputs'!$B$51)*('01_Inputs'!$C$51)+('01_Inputs'!$C$51)*('01_Inputs'!$D$51)))*('01_Inputs'!$C$38)))+(0)+((('01_Inputs'!$F$65)*((('01_Inputs'!$B$51)*('01_Inputs'!$C$51)+('01_Inputs'!$C$51)*('01_Inputs'!$D$51)))*('01_Inputs'!$C$38))))/(('01_Inputs'!$C$34)*('02_HW'!$C$7))*('02_HW'!$C$10)))+(1)*('02_HW'!$C$9)*('02_HW'!$C$10))</x:f>
        <x:v>1.1609436713513512</x:v>
      </x:c>
      <x:c r="H73" s="66" t="n">
        <x:f>(MAX(((1)*((('01_Inputs'!$G$51)*((2*((('01_Inputs'!$G$65)*('01_Inputs'!$C$10)))*((('01_Inputs'!$B$51)*('01_Inputs'!$C$51)+('01_Inputs'!$C$51)*('01_Inputs'!$D$51)))+((('01_Inputs'!$G$65)*('01_Inputs'!$C$10)))*(('01_Inputs'!$C$39)*('01_Inputs'!$C$51)+('01_Inputs'!$C$40)*('01_Inputs'!$D$51))))-(2*((2*((('01_Inputs'!$G$65)*('01_Inputs'!$C$10)))*((('01_Inputs'!$B$51)*('01_Inputs'!$C$51)+('01_Inputs'!$C$51)*('01_Inputs'!$D$51)))+((('01_Inputs'!$G$65)*('01_Inputs'!$C$10)))*(('01_Inputs'!$C$39)*('01_Inputs'!$C$51)+('01_Inputs'!$C$40)*('01_Inputs'!$D$51))))+((2*((('01_Inputs'!$G$65)*('01_Inputs'!$C$10)))*('01_Inputs'!$B$51)*('01_Inputs'!$C$51)+4*((('01_Inputs'!$G$65)*('01_Inputs'!$C$10)))*('01_Inputs'!$C$51)*('01_Inputs'!$D$51))))))/(('01_Inputs'!$C$33)*('02_HW'!$C$6))*('02_HW'!$C$10)),((1)*(((('01_Inputs'!$G$65)*((('01_Inputs'!$B$51)*('01_Inputs'!$C$51)+('01_Inputs'!$C$51)*('01_Inputs'!$D$51)))*('01_Inputs'!$C$38)))+(0)+((('01_Inputs'!$G$65)*((('01_Inputs'!$B$51)*('01_Inputs'!$C$51)+('01_Inputs'!$C$51)*('01_Inputs'!$D$51)))*('01_Inputs'!$C$38))))/(('01_Inputs'!$C$34)*('02_HW'!$C$7))*('02_HW'!$C$10)))+(1)*('02_HW'!$C$9)*('02_HW'!$C$10))</x:f>
        <x:v>2.3218873427027025</x:v>
      </x:c>
    </x:row>
    <x:row r="74">
      <x:c r="A74" s="21" t="str">
        <x:v>backward_update</x:v>
      </x:c>
      <x:c r="B74" s="21" t="str">
        <x:v>M_alpha_state_apply</x:v>
      </x:c>
      <x:c r="C74" s="66" t="n">
        <x:f>(MAX((((1/('01_Inputs'!$E$51)))*(0)/(('01_Inputs'!$C$33)*('02_HW'!$C$6))*('02_HW'!$C$10)),(((1/('01_Inputs'!$E$51)))*(((('01_Inputs'!$B$65)*(1+('01_Inputs'!$F$51))*((('01_Inputs'!$B$51)*('01_Inputs'!$C$51)+('01_Inputs'!$C$51)*('01_Inputs'!$D$51)))*('01_Inputs'!$C$37)))+((('01_Inputs'!$B$65)*(1+('01_Inputs'!$F$51))*((('01_Inputs'!$B$51)*('01_Inputs'!$C$51)+('01_Inputs'!$C$51)*('01_Inputs'!$D$51)))*('01_Inputs'!$C$37)))+(0))/(('01_Inputs'!$C$34)*('02_HW'!$C$7))*('02_HW'!$C$10)))+((1/('01_Inputs'!$E$51)))*('02_HW'!$C$9)*('02_HW'!$C$10))</x:f>
        <x:v>0.000017714594594594593</x:v>
      </x:c>
      <x:c r="D74" s="66" t="n">
        <x:f>(MAX((((1/('01_Inputs'!$E$51)))*(0)/(('01_Inputs'!$C$33)*('02_HW'!$C$6))*('02_HW'!$C$10)),(((1/('01_Inputs'!$E$51)))*(((('01_Inputs'!$C$65)*(1+('01_Inputs'!$F$51))*((('01_Inputs'!$B$51)*('01_Inputs'!$C$51)+('01_Inputs'!$C$51)*('01_Inputs'!$D$51)))*('01_Inputs'!$C$37)))+((('01_Inputs'!$C$65)*(1+('01_Inputs'!$F$51))*((('01_Inputs'!$B$51)*('01_Inputs'!$C$51)+('01_Inputs'!$C$51)*('01_Inputs'!$D$51)))*('01_Inputs'!$C$37)))+(0))/(('01_Inputs'!$C$34)*('02_HW'!$C$7))*('02_HW'!$C$10)))+((1/('01_Inputs'!$E$51)))*('02_HW'!$C$9)*('02_HW'!$C$10))</x:f>
        <x:v>0.000035429189189189186</x:v>
      </x:c>
      <x:c r="E74" s="66" t="n">
        <x:f>(MAX((((1/('01_Inputs'!$E$51)))*(0)/(('01_Inputs'!$C$33)*('02_HW'!$C$6))*('02_HW'!$C$10)),(((1/('01_Inputs'!$E$51)))*(((('01_Inputs'!$D$65)*(1+('01_Inputs'!$F$51))*((('01_Inputs'!$B$51)*('01_Inputs'!$C$51)+('01_Inputs'!$C$51)*('01_Inputs'!$D$51)))*('01_Inputs'!$C$37)))+((('01_Inputs'!$D$65)*(1+('01_Inputs'!$F$51))*((('01_Inputs'!$B$51)*('01_Inputs'!$C$51)+('01_Inputs'!$C$51)*('01_Inputs'!$D$51)))*('01_Inputs'!$C$37)))+(0))/(('01_Inputs'!$C$34)*('02_HW'!$C$7))*('02_HW'!$C$10)))+((1/('01_Inputs'!$E$51)))*('02_HW'!$C$9)*('02_HW'!$C$10))</x:f>
        <x:v>0.00007085837837837837</x:v>
      </x:c>
      <x:c r="F74" s="66" t="n">
        <x:f>(MAX((((1/('01_Inputs'!$E$51)))*(0)/(('01_Inputs'!$C$33)*('02_HW'!$C$6))*('02_HW'!$C$10)),(((1/('01_Inputs'!$E$51)))*(((('01_Inputs'!$E$65)*(1+('01_Inputs'!$F$51))*((('01_Inputs'!$B$51)*('01_Inputs'!$C$51)+('01_Inputs'!$C$51)*('01_Inputs'!$D$51)))*('01_Inputs'!$C$37)))+((('01_Inputs'!$E$65)*(1+('01_Inputs'!$F$51))*((('01_Inputs'!$B$51)*('01_Inputs'!$C$51)+('01_Inputs'!$C$51)*('01_Inputs'!$D$51)))*('01_Inputs'!$C$37)))+(0))/(('01_Inputs'!$C$34)*('02_HW'!$C$7))*('02_HW'!$C$10)))+((1/('01_Inputs'!$E$51)))*('02_HW'!$C$9)*('02_HW'!$C$10))</x:f>
        <x:v>0.00014171675675675674</x:v>
      </x:c>
      <x:c r="G74" s="66" t="n">
        <x:f>(MAX((((1/('01_Inputs'!$E$51)))*(0)/(('01_Inputs'!$C$33)*('02_HW'!$C$6))*('02_HW'!$C$10)),(((1/('01_Inputs'!$E$51)))*(((('01_Inputs'!$F$65)*(1+('01_Inputs'!$F$51))*((('01_Inputs'!$B$51)*('01_Inputs'!$C$51)+('01_Inputs'!$C$51)*('01_Inputs'!$D$51)))*('01_Inputs'!$C$37)))+((('01_Inputs'!$F$65)*(1+('01_Inputs'!$F$51))*((('01_Inputs'!$B$51)*('01_Inputs'!$C$51)+('01_Inputs'!$C$51)*('01_Inputs'!$D$51)))*('01_Inputs'!$C$37)))+(0))/(('01_Inputs'!$C$34)*('02_HW'!$C$7))*('02_HW'!$C$10)))+((1/('01_Inputs'!$E$51)))*('02_HW'!$C$9)*('02_HW'!$C$10))</x:f>
        <x:v>0.0002834335135135135</x:v>
      </x:c>
      <x:c r="H74" s="66" t="n">
        <x:f>(MAX((((1/('01_Inputs'!$E$51)))*(0)/(('01_Inputs'!$C$33)*('02_HW'!$C$6))*('02_HW'!$C$10)),(((1/('01_Inputs'!$E$51)))*(((('01_Inputs'!$G$65)*(1+('01_Inputs'!$F$51))*((('01_Inputs'!$B$51)*('01_Inputs'!$C$51)+('01_Inputs'!$C$51)*('01_Inputs'!$D$51)))*('01_Inputs'!$C$37)))+((('01_Inputs'!$G$65)*(1+('01_Inputs'!$F$51))*((('01_Inputs'!$B$51)*('01_Inputs'!$C$51)+('01_Inputs'!$C$51)*('01_Inputs'!$D$51)))*('01_Inputs'!$C$37)))+(0))/(('01_Inputs'!$C$34)*('02_HW'!$C$7))*('02_HW'!$C$10)))+((1/('01_Inputs'!$E$51)))*('02_HW'!$C$9)*('02_HW'!$C$10))</x:f>
        <x:v>0.000566867027027027</x:v>
      </x:c>
    </x:row>
    <x:row r="75">
      <x:c r="A75" s="21" t="str">
        <x:v>backward_update</x:v>
      </x:c>
      <x:c r="B75" s="21" t="str">
        <x:v>M_mem_weight_backward</x:v>
      </x:c>
      <x:c r="C75" s="66" t="n">
        <x:f>(MAX(((1)*((2*((('01_Inputs'!$B$65)*('01_Inputs'!$C$10)))*('01_Inputs'!$B$52)*('01_Inputs'!$C$52)+4*((('01_Inputs'!$B$65)*('01_Inputs'!$C$10)))*('01_Inputs'!$C$52)*('01_Inputs'!$D$52)))/(('01_Inputs'!$C$33)*('02_HW'!$C$6))*('02_HW'!$C$10)),((1)*(((((('01_Inputs'!$B$65)*('01_Inputs'!$C$10)))*(('01_Inputs'!$B$52)+('01_Inputs'!$C$52)+('01_Inputs'!$D$52))*('01_Inputs'!$C$16)))+(0)+((('01_Inputs'!$B$65)*((('01_Inputs'!$B$52)*('01_Inputs'!$C$52)+('01_Inputs'!$C$52)*('01_Inputs'!$D$52)))*('01_Inputs'!$C$38))))/(('01_Inputs'!$C$34)*('02_HW'!$C$7))*('02_HW'!$C$10)))+(1)*('02_HW'!$C$9)*('02_HW'!$C$10))</x:f>
        <x:v>0.07255344432432433</x:v>
      </x:c>
      <x:c r="D75" s="66" t="n">
        <x:f>(MAX(((1)*((2*((('01_Inputs'!$C$65)*('01_Inputs'!$C$10)))*('01_Inputs'!$B$52)*('01_Inputs'!$C$52)+4*((('01_Inputs'!$C$65)*('01_Inputs'!$C$10)))*('01_Inputs'!$C$52)*('01_Inputs'!$D$52)))/(('01_Inputs'!$C$33)*('02_HW'!$C$6))*('02_HW'!$C$10)),((1)*(((((('01_Inputs'!$C$65)*('01_Inputs'!$C$10)))*(('01_Inputs'!$B$52)+('01_Inputs'!$C$52)+('01_Inputs'!$D$52))*('01_Inputs'!$C$16)))+(0)+((('01_Inputs'!$C$65)*((('01_Inputs'!$B$52)*('01_Inputs'!$C$52)+('01_Inputs'!$C$52)*('01_Inputs'!$D$52)))*('01_Inputs'!$C$38))))/(('01_Inputs'!$C$34)*('02_HW'!$C$7))*('02_HW'!$C$10)))+(1)*('02_HW'!$C$9)*('02_HW'!$C$10))</x:f>
        <x:v>0.14510688864864865</x:v>
      </x:c>
      <x:c r="E75" s="66" t="n">
        <x:f>(MAX(((1)*((2*((('01_Inputs'!$D$65)*('01_Inputs'!$C$10)))*('01_Inputs'!$B$52)*('01_Inputs'!$C$52)+4*((('01_Inputs'!$D$65)*('01_Inputs'!$C$10)))*('01_Inputs'!$C$52)*('01_Inputs'!$D$52)))/(('01_Inputs'!$C$33)*('02_HW'!$C$6))*('02_HW'!$C$10)),((1)*(((((('01_Inputs'!$D$65)*('01_Inputs'!$C$10)))*(('01_Inputs'!$B$52)+('01_Inputs'!$C$52)+('01_Inputs'!$D$52))*('01_Inputs'!$C$16)))+(0)+((('01_Inputs'!$D$65)*((('01_Inputs'!$B$52)*('01_Inputs'!$C$52)+('01_Inputs'!$C$52)*('01_Inputs'!$D$52)))*('01_Inputs'!$C$38))))/(('01_Inputs'!$C$34)*('02_HW'!$C$7))*('02_HW'!$C$10)))+(1)*('02_HW'!$C$9)*('02_HW'!$C$10))</x:f>
        <x:v>0.2902137772972973</x:v>
      </x:c>
      <x:c r="F75" s="66" t="n">
        <x:f>(MAX(((1)*((2*((('01_Inputs'!$E$65)*('01_Inputs'!$C$10)))*('01_Inputs'!$B$52)*('01_Inputs'!$C$52)+4*((('01_Inputs'!$E$65)*('01_Inputs'!$C$10)))*('01_Inputs'!$C$52)*('01_Inputs'!$D$52)))/(('01_Inputs'!$C$33)*('02_HW'!$C$6))*('02_HW'!$C$10)),((1)*(((((('01_Inputs'!$E$65)*('01_Inputs'!$C$10)))*(('01_Inputs'!$B$52)+('01_Inputs'!$C$52)+('01_Inputs'!$D$52))*('01_Inputs'!$C$16)))+(0)+((('01_Inputs'!$E$65)*((('01_Inputs'!$B$52)*('01_Inputs'!$C$52)+('01_Inputs'!$C$52)*('01_Inputs'!$D$52)))*('01_Inputs'!$C$38))))/(('01_Inputs'!$C$34)*('02_HW'!$C$7))*('02_HW'!$C$10)))+(1)*('02_HW'!$C$9)*('02_HW'!$C$10))</x:f>
        <x:v>0.5804275545945946</x:v>
      </x:c>
      <x:c r="G75" s="66" t="n">
        <x:f>(MAX(((1)*((2*((('01_Inputs'!$F$65)*('01_Inputs'!$C$10)))*('01_Inputs'!$B$52)*('01_Inputs'!$C$52)+4*((('01_Inputs'!$F$65)*('01_Inputs'!$C$10)))*('01_Inputs'!$C$52)*('01_Inputs'!$D$52)))/(('01_Inputs'!$C$33)*('02_HW'!$C$6))*('02_HW'!$C$10)),((1)*(((((('01_Inputs'!$F$65)*('01_Inputs'!$C$10)))*(('01_Inputs'!$B$52)+('01_Inputs'!$C$52)+('01_Inputs'!$D$52))*('01_Inputs'!$C$16)))+(0)+((('01_Inputs'!$F$65)*((('01_Inputs'!$B$52)*('01_Inputs'!$C$52)+('01_Inputs'!$C$52)*('01_Inputs'!$D$52)))*('01_Inputs'!$C$38))))/(('01_Inputs'!$C$34)*('02_HW'!$C$7))*('02_HW'!$C$10)))+(1)*('02_HW'!$C$9)*('02_HW'!$C$10))</x:f>
        <x:v>1.1608551091891892</x:v>
      </x:c>
      <x:c r="H75" s="66" t="n">
        <x:f>(MAX(((1)*((2*((('01_Inputs'!$G$65)*('01_Inputs'!$C$10)))*('01_Inputs'!$B$52)*('01_Inputs'!$C$52)+4*((('01_Inputs'!$G$65)*('01_Inputs'!$C$10)))*('01_Inputs'!$C$52)*('01_Inputs'!$D$52)))/(('01_Inputs'!$C$33)*('02_HW'!$C$6))*('02_HW'!$C$10)),((1)*(((((('01_Inputs'!$G$65)*('01_Inputs'!$C$10)))*(('01_Inputs'!$B$52)+('01_Inputs'!$C$52)+('01_Inputs'!$D$52))*('01_Inputs'!$C$16)))+(0)+((('01_Inputs'!$G$65)*((('01_Inputs'!$B$52)*('01_Inputs'!$C$52)+('01_Inputs'!$C$52)*('01_Inputs'!$D$52)))*('01_Inputs'!$C$38))))/(('01_Inputs'!$C$34)*('02_HW'!$C$7))*('02_HW'!$C$10)))+(1)*('02_HW'!$C$9)*('02_HW'!$C$10))</x:f>
        <x:v>2.3217102183783784</x:v>
      </x:c>
    </x:row>
    <x:row r="76">
      <x:c r="A76" s="21" t="str">
        <x:v>backward_update</x:v>
      </x:c>
      <x:c r="B76" s="21" t="str">
        <x:v>M_mem_dgd_extra</x:v>
      </x:c>
      <x:c r="C76" s="66" t="n">
        <x:f>(MAX(((1)*((('01_Inputs'!$G$52)*((2*((('01_Inputs'!$B$65)*('01_Inputs'!$C$10)))*((('01_Inputs'!$B$52)*('01_Inputs'!$C$52)+('01_Inputs'!$C$52)*('01_Inputs'!$D$52)))+((('01_Inputs'!$B$65)*('01_Inputs'!$C$10)))*(('01_Inputs'!$C$39)*('01_Inputs'!$C$52)+('01_Inputs'!$C$40)*('01_Inputs'!$D$52))))-(2*((2*((('01_Inputs'!$B$65)*('01_Inputs'!$C$10)))*((('01_Inputs'!$B$52)*('01_Inputs'!$C$52)+('01_Inputs'!$C$52)*('01_Inputs'!$D$52)))+((('01_Inputs'!$B$65)*('01_Inputs'!$C$10)))*(('01_Inputs'!$C$39)*('01_Inputs'!$C$52)+('01_Inputs'!$C$40)*('01_Inputs'!$D$52))))+((2*((('01_Inputs'!$B$65)*('01_Inputs'!$C$10)))*('01_Inputs'!$B$52)*('01_Inputs'!$C$52)+4*((('01_Inputs'!$B$65)*('01_Inputs'!$C$10)))*('01_Inputs'!$C$52)*('01_Inputs'!$D$52))))))/(('01_Inputs'!$C$33)*('02_HW'!$C$6))*('02_HW'!$C$10)),((1)*(((('01_Inputs'!$B$65)*((('01_Inputs'!$B$52)*('01_Inputs'!$C$52)+('01_Inputs'!$C$52)*('01_Inputs'!$D$52)))*('01_Inputs'!$C$38)))+(0)+((('01_Inputs'!$B$65)*((('01_Inputs'!$B$52)*('01_Inputs'!$C$52)+('01_Inputs'!$C$52)*('01_Inputs'!$D$52)))*('01_Inputs'!$C$38))))/(('01_Inputs'!$C$34)*('02_HW'!$C$7))*('02_HW'!$C$10)))+(1)*('02_HW'!$C$9)*('02_HW'!$C$10))</x:f>
        <x:v>0.1451002464864865</x:v>
      </x:c>
      <x:c r="D76" s="66" t="n">
        <x:f>(MAX(((1)*((('01_Inputs'!$G$52)*((2*((('01_Inputs'!$C$65)*('01_Inputs'!$C$10)))*((('01_Inputs'!$B$52)*('01_Inputs'!$C$52)+('01_Inputs'!$C$52)*('01_Inputs'!$D$52)))+((('01_Inputs'!$C$65)*('01_Inputs'!$C$10)))*(('01_Inputs'!$C$39)*('01_Inputs'!$C$52)+('01_Inputs'!$C$40)*('01_Inputs'!$D$52))))-(2*((2*((('01_Inputs'!$C$65)*('01_Inputs'!$C$10)))*((('01_Inputs'!$B$52)*('01_Inputs'!$C$52)+('01_Inputs'!$C$52)*('01_Inputs'!$D$52)))+((('01_Inputs'!$C$65)*('01_Inputs'!$C$10)))*(('01_Inputs'!$C$39)*('01_Inputs'!$C$52)+('01_Inputs'!$C$40)*('01_Inputs'!$D$52))))+((2*((('01_Inputs'!$C$65)*('01_Inputs'!$C$10)))*('01_Inputs'!$B$52)*('01_Inputs'!$C$52)+4*((('01_Inputs'!$C$65)*('01_Inputs'!$C$10)))*('01_Inputs'!$C$52)*('01_Inputs'!$D$52))))))/(('01_Inputs'!$C$33)*('02_HW'!$C$6))*('02_HW'!$C$10)),((1)*(((('01_Inputs'!$C$65)*((('01_Inputs'!$B$52)*('01_Inputs'!$C$52)+('01_Inputs'!$C$52)*('01_Inputs'!$D$52)))*('01_Inputs'!$C$38)))+(0)+((('01_Inputs'!$C$65)*((('01_Inputs'!$B$52)*('01_Inputs'!$C$52)+('01_Inputs'!$C$52)*('01_Inputs'!$D$52)))*('01_Inputs'!$C$38))))/(('01_Inputs'!$C$34)*('02_HW'!$C$7))*('02_HW'!$C$10)))+(1)*('02_HW'!$C$9)*('02_HW'!$C$10))</x:f>
        <x:v>0.290200492972973</x:v>
      </x:c>
      <x:c r="E76" s="66" t="n">
        <x:f>(MAX(((1)*((('01_Inputs'!$G$52)*((2*((('01_Inputs'!$D$65)*('01_Inputs'!$C$10)))*((('01_Inputs'!$B$52)*('01_Inputs'!$C$52)+('01_Inputs'!$C$52)*('01_Inputs'!$D$52)))+((('01_Inputs'!$D$65)*('01_Inputs'!$C$10)))*(('01_Inputs'!$C$39)*('01_Inputs'!$C$52)+('01_Inputs'!$C$40)*('01_Inputs'!$D$52))))-(2*((2*((('01_Inputs'!$D$65)*('01_Inputs'!$C$10)))*((('01_Inputs'!$B$52)*('01_Inputs'!$C$52)+('01_Inputs'!$C$52)*('01_Inputs'!$D$52)))+((('01_Inputs'!$D$65)*('01_Inputs'!$C$10)))*(('01_Inputs'!$C$39)*('01_Inputs'!$C$52)+('01_Inputs'!$C$40)*('01_Inputs'!$D$52))))+((2*((('01_Inputs'!$D$65)*('01_Inputs'!$C$10)))*('01_Inputs'!$B$52)*('01_Inputs'!$C$52)+4*((('01_Inputs'!$D$65)*('01_Inputs'!$C$10)))*('01_Inputs'!$C$52)*('01_Inputs'!$D$52))))))/(('01_Inputs'!$C$33)*('02_HW'!$C$6))*('02_HW'!$C$10)),((1)*(((('01_Inputs'!$D$65)*((('01_Inputs'!$B$52)*('01_Inputs'!$C$52)+('01_Inputs'!$C$52)*('01_Inputs'!$D$52)))*('01_Inputs'!$C$38)))+(0)+((('01_Inputs'!$D$65)*((('01_Inputs'!$B$52)*('01_Inputs'!$C$52)+('01_Inputs'!$C$52)*('01_Inputs'!$D$52)))*('01_Inputs'!$C$38))))/(('01_Inputs'!$C$34)*('02_HW'!$C$7))*('02_HW'!$C$10)))+(1)*('02_HW'!$C$9)*('02_HW'!$C$10))</x:f>
        <x:v>0.580400985945946</x:v>
      </x:c>
      <x:c r="F76" s="66" t="n">
        <x:f>(MAX(((1)*((('01_Inputs'!$G$52)*((2*((('01_Inputs'!$E$65)*('01_Inputs'!$C$10)))*((('01_Inputs'!$B$52)*('01_Inputs'!$C$52)+('01_Inputs'!$C$52)*('01_Inputs'!$D$52)))+((('01_Inputs'!$E$65)*('01_Inputs'!$C$10)))*(('01_Inputs'!$C$39)*('01_Inputs'!$C$52)+('01_Inputs'!$C$40)*('01_Inputs'!$D$52))))-(2*((2*((('01_Inputs'!$E$65)*('01_Inputs'!$C$10)))*((('01_Inputs'!$B$52)*('01_Inputs'!$C$52)+('01_Inputs'!$C$52)*('01_Inputs'!$D$52)))+((('01_Inputs'!$E$65)*('01_Inputs'!$C$10)))*(('01_Inputs'!$C$39)*('01_Inputs'!$C$52)+('01_Inputs'!$C$40)*('01_Inputs'!$D$52))))+((2*((('01_Inputs'!$E$65)*('01_Inputs'!$C$10)))*('01_Inputs'!$B$52)*('01_Inputs'!$C$52)+4*((('01_Inputs'!$E$65)*('01_Inputs'!$C$10)))*('01_Inputs'!$C$52)*('01_Inputs'!$D$52))))))/(('01_Inputs'!$C$33)*('02_HW'!$C$6))*('02_HW'!$C$10)),((1)*(((('01_Inputs'!$E$65)*((('01_Inputs'!$B$52)*('01_Inputs'!$C$52)+('01_Inputs'!$C$52)*('01_Inputs'!$D$52)))*('01_Inputs'!$C$38)))+(0)+((('01_Inputs'!$E$65)*((('01_Inputs'!$B$52)*('01_Inputs'!$C$52)+('01_Inputs'!$C$52)*('01_Inputs'!$D$52)))*('01_Inputs'!$C$38))))/(('01_Inputs'!$C$34)*('02_HW'!$C$7))*('02_HW'!$C$10)))+(1)*('02_HW'!$C$9)*('02_HW'!$C$10))</x:f>
        <x:v>1.160801971891892</x:v>
      </x:c>
      <x:c r="G76" s="66" t="n">
        <x:f>(MAX(((1)*((('01_Inputs'!$G$52)*((2*((('01_Inputs'!$F$65)*('01_Inputs'!$C$10)))*((('01_Inputs'!$B$52)*('01_Inputs'!$C$52)+('01_Inputs'!$C$52)*('01_Inputs'!$D$52)))+((('01_Inputs'!$F$65)*('01_Inputs'!$C$10)))*(('01_Inputs'!$C$39)*('01_Inputs'!$C$52)+('01_Inputs'!$C$40)*('01_Inputs'!$D$52))))-(2*((2*((('01_Inputs'!$F$65)*('01_Inputs'!$C$10)))*((('01_Inputs'!$B$52)*('01_Inputs'!$C$52)+('01_Inputs'!$C$52)*('01_Inputs'!$D$52)))+((('01_Inputs'!$F$65)*('01_Inputs'!$C$10)))*(('01_Inputs'!$C$39)*('01_Inputs'!$C$52)+('01_Inputs'!$C$40)*('01_Inputs'!$D$52))))+((2*((('01_Inputs'!$F$65)*('01_Inputs'!$C$10)))*('01_Inputs'!$B$52)*('01_Inputs'!$C$52)+4*((('01_Inputs'!$F$65)*('01_Inputs'!$C$10)))*('01_Inputs'!$C$52)*('01_Inputs'!$D$52))))))/(('01_Inputs'!$C$33)*('02_HW'!$C$6))*('02_HW'!$C$10)),((1)*(((('01_Inputs'!$F$65)*((('01_Inputs'!$B$52)*('01_Inputs'!$C$52)+('01_Inputs'!$C$52)*('01_Inputs'!$D$52)))*('01_Inputs'!$C$38)))+(0)+((('01_Inputs'!$F$65)*((('01_Inputs'!$B$52)*('01_Inputs'!$C$52)+('01_Inputs'!$C$52)*('01_Inputs'!$D$52)))*('01_Inputs'!$C$38))))/(('01_Inputs'!$C$34)*('02_HW'!$C$7))*('02_HW'!$C$10)))+(1)*('02_HW'!$C$9)*('02_HW'!$C$10))</x:f>
        <x:v>2.321603943783784</x:v>
      </x:c>
      <x:c r="H76" s="66" t="n">
        <x:f>(MAX(((1)*((('01_Inputs'!$G$52)*((2*((('01_Inputs'!$G$65)*('01_Inputs'!$C$10)))*((('01_Inputs'!$B$52)*('01_Inputs'!$C$52)+('01_Inputs'!$C$52)*('01_Inputs'!$D$52)))+((('01_Inputs'!$G$65)*('01_Inputs'!$C$10)))*(('01_Inputs'!$C$39)*('01_Inputs'!$C$52)+('01_Inputs'!$C$40)*('01_Inputs'!$D$52))))-(2*((2*((('01_Inputs'!$G$65)*('01_Inputs'!$C$10)))*((('01_Inputs'!$B$52)*('01_Inputs'!$C$52)+('01_Inputs'!$C$52)*('01_Inputs'!$D$52)))+((('01_Inputs'!$G$65)*('01_Inputs'!$C$10)))*(('01_Inputs'!$C$39)*('01_Inputs'!$C$52)+('01_Inputs'!$C$40)*('01_Inputs'!$D$52))))+((2*((('01_Inputs'!$G$65)*('01_Inputs'!$C$10)))*('01_Inputs'!$B$52)*('01_Inputs'!$C$52)+4*((('01_Inputs'!$G$65)*('01_Inputs'!$C$10)))*('01_Inputs'!$C$52)*('01_Inputs'!$D$52))))))/(('01_Inputs'!$C$33)*('02_HW'!$C$6))*('02_HW'!$C$10)),((1)*(((('01_Inputs'!$G$65)*((('01_Inputs'!$B$52)*('01_Inputs'!$C$52)+('01_Inputs'!$C$52)*('01_Inputs'!$D$52)))*('01_Inputs'!$C$38)))+(0)+((('01_Inputs'!$G$65)*((('01_Inputs'!$B$52)*('01_Inputs'!$C$52)+('01_Inputs'!$C$52)*('01_Inputs'!$D$52)))*('01_Inputs'!$C$38))))/(('01_Inputs'!$C$34)*('02_HW'!$C$7))*('02_HW'!$C$10)))+(1)*('02_HW'!$C$9)*('02_HW'!$C$10))</x:f>
        <x:v>4.643207887567568</x:v>
      </x:c>
    </x:row>
    <x:row r="77">
      <x:c r="A77" s="22" t="str">
        <x:v>backward_update</x:v>
      </x:c>
      <x:c r="B77" s="22" t="str">
        <x:v>M_mem_state_apply</x:v>
      </x:c>
      <x:c r="C77" s="67" t="n">
        <x:f>(MAX((((1/('01_Inputs'!$E$52)))*(0)/(('01_Inputs'!$C$33)*('02_HW'!$C$6))*('02_HW'!$C$10)),(((1/('01_Inputs'!$E$52)))*(((('01_Inputs'!$B$65)*(1+('01_Inputs'!$F$52))*((('01_Inputs'!$B$52)*('01_Inputs'!$C$52)+('01_Inputs'!$C$52)*('01_Inputs'!$D$52)))*('01_Inputs'!$C$37)))+((('01_Inputs'!$B$65)*(1+('01_Inputs'!$F$52))*((('01_Inputs'!$B$52)*('01_Inputs'!$C$52)+('01_Inputs'!$C$52)*('01_Inputs'!$D$52)))*('01_Inputs'!$C$37)))+(0))/(('01_Inputs'!$C$34)*('02_HW'!$C$7))*('02_HW'!$C$10)))+((1/('01_Inputs'!$E$52)))*('02_HW'!$C$9)*('02_HW'!$C$10))</x:f>
        <x:v>0.00003542486486486487</x:v>
      </x:c>
      <x:c r="D77" s="67" t="n">
        <x:f>(MAX((((1/('01_Inputs'!$E$52)))*(0)/(('01_Inputs'!$C$33)*('02_HW'!$C$6))*('02_HW'!$C$10)),(((1/('01_Inputs'!$E$52)))*(((('01_Inputs'!$C$65)*(1+('01_Inputs'!$F$52))*((('01_Inputs'!$B$52)*('01_Inputs'!$C$52)+('01_Inputs'!$C$52)*('01_Inputs'!$D$52)))*('01_Inputs'!$C$37)))+((('01_Inputs'!$C$65)*(1+('01_Inputs'!$F$52))*((('01_Inputs'!$B$52)*('01_Inputs'!$C$52)+('01_Inputs'!$C$52)*('01_Inputs'!$D$52)))*('01_Inputs'!$C$37)))+(0))/(('01_Inputs'!$C$34)*('02_HW'!$C$7))*('02_HW'!$C$10)))+((1/('01_Inputs'!$E$52)))*('02_HW'!$C$9)*('02_HW'!$C$10))</x:f>
        <x:v>0.00007084972972972974</x:v>
      </x:c>
      <x:c r="E77" s="67" t="n">
        <x:f>(MAX((((1/('01_Inputs'!$E$52)))*(0)/(('01_Inputs'!$C$33)*('02_HW'!$C$6))*('02_HW'!$C$10)),(((1/('01_Inputs'!$E$52)))*(((('01_Inputs'!$D$65)*(1+('01_Inputs'!$F$52))*((('01_Inputs'!$B$52)*('01_Inputs'!$C$52)+('01_Inputs'!$C$52)*('01_Inputs'!$D$52)))*('01_Inputs'!$C$37)))+((('01_Inputs'!$D$65)*(1+('01_Inputs'!$F$52))*((('01_Inputs'!$B$52)*('01_Inputs'!$C$52)+('01_Inputs'!$C$52)*('01_Inputs'!$D$52)))*('01_Inputs'!$C$37)))+(0))/(('01_Inputs'!$C$34)*('02_HW'!$C$7))*('02_HW'!$C$10)))+((1/('01_Inputs'!$E$52)))*('02_HW'!$C$9)*('02_HW'!$C$10))</x:f>
        <x:v>0.00014169945945945948</x:v>
      </x:c>
      <x:c r="F77" s="67" t="n">
        <x:f>(MAX((((1/('01_Inputs'!$E$52)))*(0)/(('01_Inputs'!$C$33)*('02_HW'!$C$6))*('02_HW'!$C$10)),(((1/('01_Inputs'!$E$52)))*(((('01_Inputs'!$E$65)*(1+('01_Inputs'!$F$52))*((('01_Inputs'!$B$52)*('01_Inputs'!$C$52)+('01_Inputs'!$C$52)*('01_Inputs'!$D$52)))*('01_Inputs'!$C$37)))+((('01_Inputs'!$E$65)*(1+('01_Inputs'!$F$52))*((('01_Inputs'!$B$52)*('01_Inputs'!$C$52)+('01_Inputs'!$C$52)*('01_Inputs'!$D$52)))*('01_Inputs'!$C$37)))+(0))/(('01_Inputs'!$C$34)*('02_HW'!$C$7))*('02_HW'!$C$10)))+((1/('01_Inputs'!$E$52)))*('02_HW'!$C$9)*('02_HW'!$C$10))</x:f>
        <x:v>0.00028339891891891896</x:v>
      </x:c>
      <x:c r="G77" s="67" t="n">
        <x:f>(MAX((((1/('01_Inputs'!$E$52)))*(0)/(('01_Inputs'!$C$33)*('02_HW'!$C$6))*('02_HW'!$C$10)),(((1/('01_Inputs'!$E$52)))*(((('01_Inputs'!$F$65)*(1+('01_Inputs'!$F$52))*((('01_Inputs'!$B$52)*('01_Inputs'!$C$52)+('01_Inputs'!$C$52)*('01_Inputs'!$D$52)))*('01_Inputs'!$C$37)))+((('01_Inputs'!$F$65)*(1+('01_Inputs'!$F$52))*((('01_Inputs'!$B$52)*('01_Inputs'!$C$52)+('01_Inputs'!$C$52)*('01_Inputs'!$D$52)))*('01_Inputs'!$C$37)))+(0))/(('01_Inputs'!$C$34)*('02_HW'!$C$7))*('02_HW'!$C$10)))+((1/('01_Inputs'!$E$52)))*('02_HW'!$C$9)*('02_HW'!$C$10))</x:f>
        <x:v>0.0005667978378378379</x:v>
      </x:c>
      <x:c r="H77" s="67" t="n">
        <x:f>(MAX((((1/('01_Inputs'!$E$52)))*(0)/(('01_Inputs'!$C$33)*('02_HW'!$C$6))*('02_HW'!$C$10)),(((1/('01_Inputs'!$E$52)))*(((('01_Inputs'!$G$65)*(1+('01_Inputs'!$F$52))*((('01_Inputs'!$B$52)*('01_Inputs'!$C$52)+('01_Inputs'!$C$52)*('01_Inputs'!$D$52)))*('01_Inputs'!$C$37)))+((('01_Inputs'!$G$65)*(1+('01_Inputs'!$F$52))*((('01_Inputs'!$B$52)*('01_Inputs'!$C$52)+('01_Inputs'!$C$52)*('01_Inputs'!$D$52)))*('01_Inputs'!$C$37)))+(0))/(('01_Inputs'!$C$34)*('02_HW'!$C$7))*('02_HW'!$C$10)))+((1/('01_Inputs'!$E$52)))*('02_HW'!$C$9)*('02_HW'!$C$10))</x:f>
        <x:v>0.0011335956756756758</x:v>
      </x:c>
    </x:row>
  </x:sheetData>
  <x:mergeCells>
    <x:mergeCell ref="A1:S1"/>
    <x:mergeCell ref="A2:S2"/>
  </x:mergeCells>
  <x:pageMargins left="0.7" right="0.7" top="0.75" bottom="0.75" header="0.3" footer="0.3"/>
  <x:drawing xmlns:r="http://schemas.openxmlformats.org/officeDocument/2006/relationships" r:id="R2cf1f4a77fa249e9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52" hidden="0" customWidth="1"/>
    <x:col min="7" max="7" width="34" hidden="0" customWidth="1"/>
  </x:cols>
  <x:sheetData>
    <x:row r="1" ht="28" customHeight="1">
      <x:c r="A1" s="3" t="str">
        <x:v>90 · QA and engine reconciliation</x:v>
      </x:c>
      <x:c r="B1" s="3"/>
      <x:c r="C1" s="3"/>
      <x:c r="D1" s="3"/>
      <x:c r="E1" s="3"/>
      <x:c r="F1" s="3"/>
      <x:c r="G1" s="3"/>
    </x:row>
    <x:row r="2" ht="28" customHeight="1">
      <x:c r="A2" s="7" t="str">
        <x:v>Engine QA is exact. Native live-Sheet outputs are shown separately; assumption differences are explicit and are not forced to match.</x:v>
      </x:c>
      <x:c r="B2" s="7"/>
      <x:c r="C2" s="7"/>
      <x:c r="D2" s="7"/>
      <x:c r="E2" s="7"/>
      <x:c r="F2" s="7"/>
      <x:c r="G2" s="7"/>
    </x:row>
    <x:row r="5">
      <x:c r="A5" s="14" t="str">
        <x:v>Check</x:v>
      </x:c>
      <x:c r="B5" s="28" t="str">
        <x:v>Workbook formula</x:v>
      </x:c>
      <x:c r="C5" s="28" t="str">
        <x:v>Engine reference (imported)</x:v>
      </x:c>
      <x:c r="D5" s="28" t="str">
        <x:v>Delta</x:v>
      </x:c>
      <x:c r="E5" s="28" t="str">
        <x:v>Tolerance</x:v>
      </x:c>
      <x:c r="F5" s="28" t="str">
        <x:v>Status</x:v>
      </x:c>
      <x:c r="G5" s="15" t="str">
        <x:v>Notes</x:v>
      </x:c>
    </x:row>
    <x:row r="6">
      <x:c r="A6" s="20" t="str">
        <x:v>Attention prefill FLOPs</x:v>
      </x:c>
      <x:c r="B6" s="87" t="n">
        <x:f>'10_AttnMoE_Prefill'!$A$3</x:f>
        <x:v>14733800617541632</x:v>
      </x:c>
      <x:c r="C6" s="87" t="n">
        <x:v>14733800617541632</x:v>
      </x:c>
      <x:c r="D6" s="87" t="n">
        <x:f>B6-C6</x:f>
        <x:v>0</x:v>
      </x:c>
      <x:c r="E6" s="87" t="n">
        <x:f>0</x:f>
        <x:v>0</x:v>
      </x:c>
      <x:c r="F6" s="20" t="str">
        <x:f>IF(ABS(D6)&lt;=E6,"PASS","REVIEW")</x:f>
        <x:v>PASS</x:v>
      </x:c>
      <x:c r="G6" s="20" t="str">
        <x:v>Exact integer</x:v>
      </x:c>
    </x:row>
    <x:row r="7">
      <x:c r="A7" s="21" t="str">
        <x:v>Attention prefill effective HBM B</x:v>
      </x:c>
      <x:c r="B7" s="88" t="n">
        <x:f>'10_AttnMoE_Prefill'!$D$3</x:f>
        <x:v>1082668351488</x:v>
      </x:c>
      <x:c r="C7" s="88" t="n">
        <x:v>1082668351488</x:v>
      </x:c>
      <x:c r="D7" s="88" t="n">
        <x:f>B7-C7</x:f>
        <x:v>0</x:v>
      </x:c>
      <x:c r="E7" s="88" t="n">
        <x:f>0.01</x:f>
        <x:v>0.01</x:v>
      </x:c>
      <x:c r="F7" s="21" t="str">
        <x:f>IF(ABS(D7)&lt;=E7,"PASS","REVIEW")</x:f>
        <x:v>PASS</x:v>
      </x:c>
      <x:c r="G7" s="21" t="str">
        <x:v>Formula reconstruction</x:v>
      </x:c>
    </x:row>
    <x:row r="8">
      <x:c r="A8" s="21" t="str">
        <x:v>Attention prefill stagewise ms</x:v>
      </x:c>
      <x:c r="B8" s="88" t="n">
        <x:f>'10_AttnMoE_Prefill'!$J$3</x:f>
        <x:v>3256.329489278666</x:v>
      </x:c>
      <x:c r="C8" s="88" t="n">
        <x:v>3256.329489278667</x:v>
      </x:c>
      <x:c r="D8" s="88" t="n">
        <x:f>B8-C8</x:f>
        <x:v>-9.094947017729282e-13</x:v>
      </x:c>
      <x:c r="E8" s="88" t="n">
        <x:f>1e-8</x:f>
        <x:v>1e-8</x:v>
      </x:c>
      <x:c r="F8" s="21" t="str">
        <x:f>IF(ABS(D8)&lt;=E8,"PASS","REVIEW")</x:f>
        <x:v>PASS</x:v>
      </x:c>
      <x:c r="G8" s="21" t="str">
        <x:v>Primary latency</x:v>
      </x:c>
    </x:row>
    <x:row r="9">
      <x:c r="A9" s="21" t="str">
        <x:v>Attention decode FLOPs</x:v>
      </x:c>
      <x:c r="B9" s="88" t="n">
        <x:f>'11_AttnMoE_Decode'!$A$3</x:f>
        <x:v>181800013824</x:v>
      </x:c>
      <x:c r="C9" s="88" t="n">
        <x:v>181800013824</x:v>
      </x:c>
      <x:c r="D9" s="88" t="n">
        <x:f>B9-C9</x:f>
        <x:v>0</x:v>
      </x:c>
      <x:c r="E9" s="88" t="n">
        <x:f>0</x:f>
        <x:v>0</x:v>
      </x:c>
      <x:c r="F9" s="21" t="str">
        <x:f>IF(ABS(D9)&lt;=E9,"PASS","REVIEW")</x:f>
        <x:v>PASS</x:v>
      </x:c>
      <x:c r="G9" s="21" t="str">
        <x:v>Exact integer</x:v>
      </x:c>
    </x:row>
    <x:row r="10">
      <x:c r="A10" s="21" t="str">
        <x:v>Attention decode effective HBM B</x:v>
      </x:c>
      <x:c r="B10" s="88" t="n">
        <x:f>'11_AttnMoE_Decode'!$D$3</x:f>
        <x:v>80571472801.34651</x:v>
      </x:c>
      <x:c r="C10" s="88" t="n">
        <x:v>80571472801.34651</x:v>
      </x:c>
      <x:c r="D10" s="88" t="n">
        <x:f>B10-C10</x:f>
        <x:v>0</x:v>
      </x:c>
      <x:c r="E10" s="88" t="n">
        <x:f>0.01</x:f>
        <x:v>0.01</x:v>
      </x:c>
      <x:c r="F10" s="21" t="str">
        <x:f>IF(ABS(D10)&lt;=E10,"PASS","REVIEW")</x:f>
        <x:v>PASS</x:v>
      </x:c>
      <x:c r="G10" s="21" t="str">
        <x:v>Formula reconstruction</x:v>
      </x:c>
    </x:row>
    <x:row r="11">
      <x:c r="A11" s="21" t="str">
        <x:v>Attention decode stagewise ms</x:v>
      </x:c>
      <x:c r="B11" s="88" t="n">
        <x:f>'11_AttnMoE_Decode'!$J$3</x:f>
        <x:v>10.888036865046827</x:v>
      </x:c>
      <x:c r="C11" s="88" t="n">
        <x:v>10.888036865046825</x:v>
      </x:c>
      <x:c r="D11" s="88" t="n">
        <x:f>B11-C11</x:f>
        <x:v>1.7763568394002505e-15</x:v>
      </x:c>
      <x:c r="E11" s="88" t="n">
        <x:f>1e-8</x:f>
        <x:v>1e-8</x:v>
      </x:c>
      <x:c r="F11" s="21" t="str">
        <x:f>IF(ABS(D11)&lt;=E11,"PASS","REVIEW")</x:f>
        <x:v>PASS</x:v>
      </x:c>
      <x:c r="G11" s="21" t="str">
        <x:v>Primary latency</x:v>
      </x:c>
    </x:row>
    <x:row r="12">
      <x:c r="A12" s="21" t="str">
        <x:v>HOPE prefill FLOPs</x:v>
      </x:c>
      <x:c r="B12" s="88" t="n">
        <x:f>'20_HOPE_Prefill'!$A$3</x:f>
        <x:v>308817305272320</x:v>
      </x:c>
      <x:c r="C12" s="88" t="n">
        <x:v>308817305272320</x:v>
      </x:c>
      <x:c r="D12" s="88" t="n">
        <x:f>B12-C12</x:f>
        <x:v>0</x:v>
      </x:c>
      <x:c r="E12" s="88" t="n">
        <x:f>0.01</x:f>
        <x:v>0.01</x:v>
      </x:c>
      <x:c r="F12" s="21" t="str">
        <x:f>IF(ABS(D12)&lt;=E12,"PASS","REVIEW")</x:f>
        <x:v>PASS</x:v>
      </x:c>
      <x:c r="G12" s="21" t="str">
        <x:v>Shipped-credible momentum</x:v>
      </x:c>
    </x:row>
    <x:row r="13">
      <x:c r="A13" s="21" t="str">
        <x:v>HOPE prefill effective HBM B</x:v>
      </x:c>
      <x:c r="B13" s="88" t="n">
        <x:f>'20_HOPE_Prefill'!$D$3</x:f>
        <x:v>334155874304</x:v>
      </x:c>
      <x:c r="C13" s="88" t="n">
        <x:v>334155874304</x:v>
      </x:c>
      <x:c r="D13" s="88" t="n">
        <x:f>B13-C13</x:f>
        <x:v>0</x:v>
      </x:c>
      <x:c r="E13" s="88" t="n">
        <x:f>0.01</x:f>
        <x:v>0.01</x:v>
      </x:c>
      <x:c r="F13" s="21" t="str">
        <x:f>IF(ABS(D13)&lt;=E13,"PASS","REVIEW")</x:f>
        <x:v>PASS</x:v>
      </x:c>
      <x:c r="G13" s="21" t="str">
        <x:v>Shipped-credible momentum</x:v>
      </x:c>
    </x:row>
    <x:row r="14">
      <x:c r="A14" s="21" t="str">
        <x:v>HOPE prefill stagewise ms</x:v>
      </x:c>
      <x:c r="B14" s="88" t="n">
        <x:f>'20_HOPE_Prefill'!$J$3</x:f>
        <x:v>87.76370645169284</x:v>
      </x:c>
      <x:c r="C14" s="88" t="n">
        <x:v>87.76370645169283</x:v>
      </x:c>
      <x:c r="D14" s="88" t="n">
        <x:f>B14-C14</x:f>
        <x:v>1.4210854715202004e-14</x:v>
      </x:c>
      <x:c r="E14" s="88" t="n">
        <x:f>1e-8</x:f>
        <x:v>1e-8</x:v>
      </x:c>
      <x:c r="F14" s="21" t="str">
        <x:f>IF(ABS(D14)&lt;=E14,"PASS","REVIEW")</x:f>
        <x:v>PASS</x:v>
      </x:c>
      <x:c r="G14" s="21" t="str">
        <x:v>Primary latency</x:v>
      </x:c>
    </x:row>
    <x:row r="15">
      <x:c r="A15" s="21" t="str">
        <x:v>HOPE forward-only ITL ms</x:v>
      </x:c>
      <x:c r="B15" s="88" t="n">
        <x:f>'21_HOPE_Decode'!$B$6</x:f>
        <x:v>0.6194056302702703</x:v>
      </x:c>
      <x:c r="C15" s="88" t="n">
        <x:v>0.6194056302702702</x:v>
      </x:c>
      <x:c r="D15" s="88" t="n">
        <x:f>B15-C15</x:f>
        <x:v>1.1102230246251565e-16</x:v>
      </x:c>
      <x:c r="E15" s="88" t="n">
        <x:f>1e-8</x:f>
        <x:v>1e-8</x:v>
      </x:c>
      <x:c r="F15" s="21" t="str">
        <x:f>IF(ABS(D15)&lt;=E15,"PASS","REVIEW")</x:f>
        <x:v>PASS</x:v>
      </x:c>
      <x:c r="G15" s="21" t="str">
        <x:v>Q=1 Titans + sparse CMS forward</x:v>
      </x:c>
    </x:row>
    <x:row r="16">
      <x:c r="A16" s="21" t="str">
        <x:v>HOPE online-overhead ITL ms</x:v>
      </x:c>
      <x:c r="B16" s="88" t="n">
        <x:f>'21_HOPE_Decode'!$B$7</x:f>
        <x:v>30.194499154265625</x:v>
      </x:c>
      <x:c r="C16" s="88" t="n">
        <x:v>30.194499154265632</x:v>
      </x:c>
      <x:c r="D16" s="88" t="n">
        <x:f>B16-C16</x:f>
        <x:v>-7.105427357601002e-15</x:v>
      </x:c>
      <x:c r="E16" s="88" t="n">
        <x:f>1e-8</x:f>
        <x:v>1e-8</x:v>
      </x:c>
      <x:c r="F16" s="21" t="str">
        <x:f>IF(ABS(D16)&lt;=E16,"PASS","REVIEW")</x:f>
        <x:v>PASS</x:v>
      </x:c>
      <x:c r="G16" s="21" t="str">
        <x:v>Loss + backward/amortized update</x:v>
      </x:c>
    </x:row>
    <x:row r="17">
      <x:c r="A17" s="21" t="str">
        <x:v>HOPE including-online ITL ms</x:v>
      </x:c>
      <x:c r="B17" s="88" t="n">
        <x:f>'21_HOPE_Decode'!$B$8</x:f>
        <x:v>30.813904784535897</x:v>
      </x:c>
      <x:c r="C17" s="88" t="n">
        <x:v>30.8139047845359</x:v>
      </x:c>
      <x:c r="D17" s="88" t="n">
        <x:f>B17-C17</x:f>
        <x:v>-3.552713678800501e-15</x:v>
      </x:c>
      <x:c r="E17" s="88" t="n">
        <x:f>1e-8</x:f>
        <x:v>1e-8</x:v>
      </x:c>
      <x:c r="F17" s="21" t="str">
        <x:f>IF(ABS(D17)&lt;=E17,"PASS","REVIEW")</x:f>
        <x:v>PASS</x:v>
      </x:c>
      <x:c r="G17" s="21" t="str">
        <x:v>No OSL multiplier</x:v>
      </x:c>
    </x:row>
    <x:row r="18">
      <x:c r="A18" s="21" t="str">
        <x:v>Context sweep 1K Attention decode ms</x:v>
      </x:c>
      <x:c r="B18" s="88" t="n">
        <x:f>'40_Sweeps'!$B$6</x:f>
        <x:v>1.655891982884663</x:v>
      </x:c>
      <x:c r="C18" s="88" t="n">
        <x:v>1.655891982884663</x:v>
      </x:c>
      <x:c r="D18" s="88" t="n">
        <x:f>B18-C18</x:f>
        <x:v>0</x:v>
      </x:c>
      <x:c r="E18" s="88" t="n">
        <x:f>1e-8</x:f>
        <x:v>1e-8</x:v>
      </x:c>
      <x:c r="F18" s="21" t="str">
        <x:f>IF(ABS(D18)&lt;=E18,"PASS","REVIEW")</x:f>
        <x:v>PASS</x:v>
      </x:c>
      <x:c r="G18" s="21" t="str">
        <x:v>Formula-driven sweep endpoint</x:v>
      </x:c>
    </x:row>
    <x:row r="19">
      <x:c r="A19" s="21" t="str">
        <x:v>Context sweep 256K Attention decode ms</x:v>
      </x:c>
      <x:c r="B19" s="88" t="n">
        <x:f>'40_Sweeps'!$B$11</x:f>
        <x:v>20.192731870452235</x:v>
      </x:c>
      <x:c r="C19" s="88" t="n">
        <x:v>20.192731870452228</x:v>
      </x:c>
      <x:c r="D19" s="88" t="n">
        <x:f>B19-C19</x:f>
        <x:v>7.105427357601002e-15</x:v>
      </x:c>
      <x:c r="E19" s="88" t="n">
        <x:f>1e-8</x:f>
        <x:v>1e-8</x:v>
      </x:c>
      <x:c r="F19" s="21" t="str">
        <x:f>IF(ABS(D19)&lt;=E19,"PASS","REVIEW")</x:f>
        <x:v>PASS</x:v>
      </x:c>
      <x:c r="G19" s="21" t="str">
        <x:v>Formula-driven sweep endpoint</x:v>
      </x:c>
    </x:row>
    <x:row r="20">
      <x:c r="A20" s="21" t="str">
        <x:v>Context sweep 1K HOPE forward ms</x:v>
      </x:c>
      <x:c r="B20" s="88" t="n">
        <x:f>'40_Sweeps'!$C$6</x:f>
        <x:v>0.6194056302702703</x:v>
      </x:c>
      <x:c r="C20" s="88" t="n">
        <x:v>0.6194056302702702</x:v>
      </x:c>
      <x:c r="D20" s="88" t="n">
        <x:f>B20-C20</x:f>
        <x:v>1.1102230246251565e-16</x:v>
      </x:c>
      <x:c r="E20" s="88" t="n">
        <x:f>1e-8</x:f>
        <x:v>1e-8</x:v>
      </x:c>
      <x:c r="F20" s="21" t="str">
        <x:f>IF(ABS(D20)&lt;=E20,"PASS","REVIEW")</x:f>
        <x:v>PASS</x:v>
      </x:c>
      <x:c r="G20" s="21" t="str">
        <x:v>Primary serving axis</x:v>
      </x:c>
    </x:row>
    <x:row r="21">
      <x:c r="A21" s="21" t="str">
        <x:v>Context sweep 1K HOPE including-online ms</x:v>
      </x:c>
      <x:c r="B21" s="88" t="n">
        <x:f>'40_Sweeps'!$D$6</x:f>
        <x:v>30.813904784535897</x:v>
      </x:c>
      <x:c r="C21" s="88" t="n">
        <x:v>30.8139047845359</x:v>
      </x:c>
      <x:c r="D21" s="88" t="n">
        <x:f>B21-C21</x:f>
        <x:v>-3.552713678800501e-15</x:v>
      </x:c>
      <x:c r="E21" s="88" t="n">
        <x:f>1e-8</x:f>
        <x:v>1e-8</x:v>
      </x:c>
      <x:c r="F21" s="21" t="str">
        <x:f>IF(ABS(D21)&lt;=E21,"PASS","REVIEW")</x:f>
        <x:v>PASS</x:v>
      </x:c>
      <x:c r="G21" s="21" t="str">
        <x:v>Sensitivity axis</x:v>
      </x:c>
    </x:row>
    <x:row r="22">
      <x:c r="A22" s="21" t="str">
        <x:v>Batch sweep B=1 HOPE forward ms</x:v>
      </x:c>
      <x:c r="B22" s="88" t="n">
        <x:f>'40_Sweeps'!$C$17</x:f>
        <x:v>0.028141792432432432</x:v>
      </x:c>
      <x:c r="C22" s="88" t="n">
        <x:v>0.028141792432432432</x:v>
      </x:c>
      <x:c r="D22" s="88" t="n">
        <x:f>B22-C22</x:f>
        <x:v>0</x:v>
      </x:c>
      <x:c r="E22" s="88" t="n">
        <x:f>1e-8</x:f>
        <x:v>1e-8</x:v>
      </x:c>
      <x:c r="F22" s="21" t="str">
        <x:f>IF(ABS(D22)&lt;=E22,"PASS","REVIEW")</x:f>
        <x:v>PASS</x:v>
      </x:c>
      <x:c r="G22" s="21" t="str">
        <x:v>Exact forward-stage reconstruction</x:v>
      </x:c>
    </x:row>
    <x:row r="23">
      <x:c r="A23" s="21" t="str">
        <x:v>Batch sweep B=1 HOPE including-online ms</x:v>
      </x:c>
      <x:c r="B23" s="88" t="n">
        <x:f>'40_Sweeps'!$D$17</x:f>
        <x:v>0.9717198910032334</x:v>
      </x:c>
      <x:c r="C23" s="88" t="n">
        <x:v>0.9717198910032334</x:v>
      </x:c>
      <x:c r="D23" s="88" t="n">
        <x:f>B23-C23</x:f>
        <x:v>0</x:v>
      </x:c>
      <x:c r="E23" s="88" t="n">
        <x:f>1e-8</x:f>
        <x:v>1e-8</x:v>
      </x:c>
      <x:c r="F23" s="21" t="str">
        <x:f>IF(ABS(D23)&lt;=E23,"PASS","REVIEW")</x:f>
        <x:v>PASS</x:v>
      </x:c>
      <x:c r="G23" s="21" t="str">
        <x:v>Static-q read is not batch-linear</x:v>
      </x:c>
    </x:row>
    <x:row r="24">
      <x:c r="A24" s="21" t="str">
        <x:v>Batch sweep B=32 HOPE forward ms</x:v>
      </x:c>
      <x:c r="B24" s="88" t="n">
        <x:f>'40_Sweeps'!$C$22</x:f>
        <x:v>0.6194056302702703</x:v>
      </x:c>
      <x:c r="C24" s="88" t="n">
        <x:v>0.6194056302702702</x:v>
      </x:c>
      <x:c r="D24" s="88" t="n">
        <x:f>B24-C24</x:f>
        <x:v>1.1102230246251565e-16</x:v>
      </x:c>
      <x:c r="E24" s="88" t="n">
        <x:f>1e-8</x:f>
        <x:v>1e-8</x:v>
      </x:c>
      <x:c r="F24" s="21" t="str">
        <x:f>IF(ABS(D24)&lt;=E24,"PASS","REVIEW")</x:f>
        <x:v>PASS</x:v>
      </x:c>
      <x:c r="G24" s="21" t="str">
        <x:v>Formula-driven sweep endpoint</x:v>
      </x:c>
    </x:row>
    <x:row r="25">
      <x:c r="A25" s="22" t="str">
        <x:v>Batch sweep B=32 HOPE including-online ms</x:v>
      </x:c>
      <x:c r="B25" s="89" t="n">
        <x:f>'40_Sweeps'!$D$22</x:f>
        <x:v>30.8139047845359</x:v>
      </x:c>
      <x:c r="C25" s="89" t="n">
        <x:v>30.8139047845359</x:v>
      </x:c>
      <x:c r="D25" s="89" t="n">
        <x:f>B25-C25</x:f>
        <x:v>0</x:v>
      </x:c>
      <x:c r="E25" s="89" t="n">
        <x:f>1e-8</x:f>
        <x:v>1e-8</x:v>
      </x:c>
      <x:c r="F25" s="22" t="str">
        <x:f>IF(ABS(D25)&lt;=E25,"PASS","REVIEW")</x:f>
        <x:v>PASS</x:v>
      </x:c>
      <x:c r="G25" s="22" t="str">
        <x:v>Formula-driven sweep endpoint</x:v>
      </x:c>
    </x:row>
    <x:row r="29">
      <x:c r="A29" s="50" t="str">
        <x:v>Upstream invariant</x:v>
      </x:c>
      <x:c r="B29" s="51" t="str">
        <x:v>Engine result</x:v>
      </x:c>
      <x:c r="C29" s="52" t="str">
        <x:v>Meaning</x:v>
      </x:c>
    </x:row>
    <x:row r="30">
      <x:c r="A30" s="20" t="str">
        <x:v>adaptive_q_is_excluded_from_defaults</x:v>
      </x:c>
      <x:c r="B30" s="20" t="str">
        <x:v>PASS</x:v>
      </x:c>
      <x:c r="C30" s="20" t="str">
        <x:v>Imported from results.json QA contract</x:v>
      </x:c>
    </x:row>
    <x:row r="31">
      <x:c r="A31" s="21" t="str">
        <x:v>all_stagewise_not_below_aggregate</x:v>
      </x:c>
      <x:c r="B31" s="21" t="str">
        <x:v>PASS</x:v>
      </x:c>
      <x:c r="C31" s="21" t="str">
        <x:v>Imported from results.json QA contract</x:v>
      </x:c>
    </x:row>
    <x:row r="32">
      <x:c r="A32" s="21" t="str">
        <x:v>causal_flash_has_no_quadratic_temporary_write</x:v>
      </x:c>
      <x:c r="B32" s="21" t="str">
        <x:v>PASS</x:v>
      </x:c>
      <x:c r="C32" s="21" t="str">
        <x:v>Imported from results.json QA contract</x:v>
      </x:c>
    </x:row>
    <x:row r="33">
      <x:c r="A33" s="21" t="str">
        <x:v>cms_forward_read_is_not_divided_by_update_period</x:v>
      </x:c>
      <x:c r="B33" s="21" t="str">
        <x:v>PASS</x:v>
      </x:c>
      <x:c r="C33" s="21" t="str">
        <x:v>Imported from results.json QA contract</x:v>
      </x:c>
    </x:row>
    <x:row r="34">
      <x:c r="A34" s="21" t="str">
        <x:v>cms_is_router_plus_sparse_low_rank_ab</x:v>
      </x:c>
      <x:c r="B34" s="21" t="str">
        <x:v>PASS</x:v>
      </x:c>
      <x:c r="C34" s="21" t="str">
        <x:v>Imported from results.json QA contract</x:v>
      </x:c>
    </x:row>
    <x:row r="35">
      <x:c r="A35" s="21" t="str">
        <x:v>cms_online_update_is_excluded</x:v>
      </x:c>
      <x:c r="B35" s="21" t="str">
        <x:v>PASS</x:v>
      </x:c>
      <x:c r="C35" s="21" t="str">
        <x:v>Imported from results.json QA contract</x:v>
      </x:c>
    </x:row>
    <x:row r="36">
      <x:c r="A36" s="21" t="str">
        <x:v>decode_kv_read_is_linear_in_context</x:v>
      </x:c>
      <x:c r="B36" s="21" t="str">
        <x:v>PASS</x:v>
      </x:c>
      <x:c r="C36" s="21" t="str">
        <x:v>Imported from results.json QA contract</x:v>
      </x:c>
    </x:row>
    <x:row r="37">
      <x:c r="A37" s="21" t="str">
        <x:v>decode_metrics_are_one_token_without_osl</x:v>
      </x:c>
      <x:c r="B37" s="21" t="str">
        <x:v>PASS</x:v>
      </x:c>
      <x:c r="C37" s="21" t="str">
        <x:v>Imported from results.json QA contract</x:v>
      </x:c>
    </x:row>
    <x:row r="38">
      <x:c r="A38" s="21" t="str">
        <x:v>flash_decode_partials_zero_at_one_split</x:v>
      </x:c>
      <x:c r="B38" s="21" t="str">
        <x:v>PASS</x:v>
      </x:c>
      <x:c r="C38" s="21" t="str">
        <x:v>Imported from results.json QA contract</x:v>
      </x:c>
    </x:row>
    <x:row r="39">
      <x:c r="A39" s="21" t="str">
        <x:v>hope_dependency_partition_is_canonical</x:v>
      </x:c>
      <x:c r="B39" s="21" t="str">
        <x:v>PASS</x:v>
      </x:c>
      <x:c r="C39" s="21" t="str">
        <x:v>Imported from results.json QA contract</x:v>
      </x:c>
    </x:row>
    <x:row r="40">
      <x:c r="A40" s="21" t="str">
        <x:v>hope_group_summaries_conserve_totals</x:v>
      </x:c>
      <x:c r="B40" s="21" t="str">
        <x:v>PASS</x:v>
      </x:c>
      <x:c r="C40" s="21" t="str">
        <x:v>Imported from results.json QA contract</x:v>
      </x:c>
    </x:row>
    <x:row r="41">
      <x:c r="A41" s="21" t="str">
        <x:v>hope_state_is_batch_linear</x:v>
      </x:c>
      <x:c r="B41" s="21" t="str">
        <x:v>PASS</x:v>
      </x:c>
      <x:c r="C41" s="21" t="str">
        <x:v>Imported from results.json QA contract</x:v>
      </x:c>
    </x:row>
    <x:row r="42">
      <x:c r="A42" s="21" t="str">
        <x:v>hope_state_is_context_independent</x:v>
      </x:c>
      <x:c r="B42" s="21" t="str">
        <x:v>PASS</x:v>
      </x:c>
      <x:c r="C42" s="21" t="str">
        <x:v>Imported from results.json QA contract</x:v>
      </x:c>
    </x:row>
    <x:row r="43">
      <x:c r="A43" s="21" t="str">
        <x:v>hope_ttft_uses_prefill_chunk_count</x:v>
      </x:c>
      <x:c r="B43" s="21" t="str">
        <x:v>PASS</x:v>
      </x:c>
      <x:c r="C43" s="21" t="str">
        <x:v>Imported from results.json QA contract</x:v>
      </x:c>
    </x:row>
    <x:row r="44">
      <x:c r="A44" s="21" t="str">
        <x:v>kv_append_is_context_independent</x:v>
      </x:c>
      <x:c r="B44" s="21" t="str">
        <x:v>PASS</x:v>
      </x:c>
      <x:c r="C44" s="21" t="str">
        <x:v>Imported from results.json QA contract</x:v>
      </x:c>
    </x:row>
    <x:row r="45">
      <x:c r="A45" s="21" t="str">
        <x:v>legacy_flops_anchor_matches</x:v>
      </x:c>
      <x:c r="B45" s="21" t="str">
        <x:v>PASS</x:v>
      </x:c>
      <x:c r="C45" s="21" t="str">
        <x:v>Imported from results.json QA contract</x:v>
      </x:c>
    </x:row>
    <x:row r="46">
      <x:c r="A46" s="21" t="str">
        <x:v>legacy_hbm_anchor_matches</x:v>
      </x:c>
      <x:c r="B46" s="21" t="str">
        <x:v>PASS</x:v>
      </x:c>
      <x:c r="C46" s="21" t="str">
        <x:v>Imported from results.json QA contract</x:v>
      </x:c>
    </x:row>
    <x:row r="47">
      <x:c r="A47" s="21" t="str">
        <x:v>reference_hardware_matches_live_sheet</x:v>
      </x:c>
      <x:c r="B47" s="21" t="str">
        <x:v>PASS</x:v>
      </x:c>
      <x:c r="C47" s="21" t="str">
        <x:v>Imported from results.json QA contract</x:v>
      </x:c>
    </x:row>
    <x:row r="48">
      <x:c r="A48" s="21" t="str">
        <x:v>shipped_default_has_no_M_q</x:v>
      </x:c>
      <x:c r="B48" s="21" t="str">
        <x:v>PASS</x:v>
      </x:c>
      <x:c r="C48" s="21" t="str">
        <x:v>Imported from results.json QA contract</x:v>
      </x:c>
    </x:row>
    <x:row r="49">
      <x:c r="A49" s="22" t="str">
        <x:v>shipped_forward_is_static_q_plus_M_mem</x:v>
      </x:c>
      <x:c r="B49" s="22" t="str">
        <x:v>PASS</x:v>
      </x:c>
      <x:c r="C49" s="22" t="str">
        <x:v>Imported from results.json QA contract</x:v>
      </x:c>
    </x:row>
    <x:row r="52">
      <x:c r="A52" s="50" t="str">
        <x:v>Native operational metric</x:v>
      </x:c>
      <x:c r="B52" s="51" t="str">
        <x:v>Native Sheet ms</x:v>
      </x:c>
      <x:c r="C52" s="51" t="str">
        <x:v>Generated companion ms</x:v>
      </x:c>
      <x:c r="D52" s="51" t="str">
        <x:v>Delta ms</x:v>
      </x:c>
      <x:c r="E52" s="51" t="str">
        <x:v>Reconciliation</x:v>
      </x:c>
      <x:c r="F52" s="52" t="str">
        <x:v>Why exact equality is not asserted</x:v>
      </x:c>
    </x:row>
    <x:row r="53">
      <x:c r="A53" s="20" t="str">
        <x:v>Full Attention TTFT</x:v>
      </x:c>
      <x:c r="B53" s="65" t="n">
        <x:v>3204.916</x:v>
      </x:c>
      <x:c r="C53" s="65" t="n">
        <x:f>'10_AttnMoE_Prefill'!$J$3</x:f>
        <x:v>3256.329489278666</x:v>
      </x:c>
      <x:c r="D53" s="65" t="n">
        <x:f>C53-B53</x:f>
        <x:v>51.41348927866602</x:v>
      </x:c>
      <x:c r="E53" s="20" t="str">
        <x:f>IF(ABS(D53)&lt;=0.001,"MATCH","ASSUMPTION DIFFERENCE")</x:f>
        <x:v>ASSUMPTION DIFFERENCE</x:v>
      </x:c>
      <x:c r="F53" s="23" t="str">
        <x:v>The native Sheet is the user-reviewed operational contract. Exact numerical equality is not asserted: the generated engine uses an explicit sparse-CMS unique-active HBM upper bound, explicit MoE traffic, and its own stagewise roofline partition.</x:v>
      </x:c>
    </x:row>
    <x:row r="54">
      <x:c r="A54" s="21" t="str">
        <x:v>HOPE forward TTFT</x:v>
      </x:c>
      <x:c r="B54" s="66" t="n">
        <x:v>552.123</x:v>
      </x:c>
      <x:c r="C54" s="66" t="n">
        <x:f>(('20_HOPE_Prefill'!$E$47)*('01_Inputs'!$C$9))</x:f>
        <x:v>539.123762358741</x:v>
      </x:c>
      <x:c r="D54" s="66" t="n">
        <x:f>C54-B54</x:f>
        <x:v>-12.999237641259015</x:v>
      </x:c>
      <x:c r="E54" s="21" t="str">
        <x:f>IF(ABS(D54)&lt;=0.001,"MATCH","ASSUMPTION DIFFERENCE")</x:f>
        <x:v>ASSUMPTION DIFFERENCE</x:v>
      </x:c>
      <x:c r="F54" s="24" t="str">
        <x:v>The native Sheet is the user-reviewed operational contract. Exact numerical equality is not asserted: the generated engine uses an explicit sparse-CMS unique-active HBM upper bound, explicit MoE traffic, and its own stagewise roofline partition.</x:v>
      </x:c>
    </x:row>
    <x:row r="55">
      <x:c r="A55" s="21" t="str">
        <x:v>HOPE including-online TTFT</x:v>
      </x:c>
      <x:c r="B55" s="66" t="n">
        <x:v>6757.768</x:v>
      </x:c>
      <x:c r="C55" s="66" t="n">
        <x:f>(('20_HOPE_Prefill'!$J$3)*('01_Inputs'!$C$9))</x:f>
        <x:v>5616.877212908342</x:v>
      </x:c>
      <x:c r="D55" s="66" t="n">
        <x:f>C55-B55</x:f>
        <x:v>-1140.8907870916582</x:v>
      </x:c>
      <x:c r="E55" s="21" t="str">
        <x:f>IF(ABS(D55)&lt;=0.001,"MATCH","ASSUMPTION DIFFERENCE")</x:f>
        <x:v>ASSUMPTION DIFFERENCE</x:v>
      </x:c>
      <x:c r="F55" s="24" t="str">
        <x:v>The native Sheet is the user-reviewed operational contract. Exact numerical equality is not asserted: the generated engine uses an explicit sparse-CMS unique-active HBM upper bound, explicit MoE traffic, and its own stagewise roofline partition.</x:v>
      </x:c>
    </x:row>
    <x:row r="56">
      <x:c r="A56" s="21" t="str">
        <x:v>Full Attention ITL</x:v>
      </x:c>
      <x:c r="B56" s="66" t="n">
        <x:v>10.888</x:v>
      </x:c>
      <x:c r="C56" s="66" t="n">
        <x:f>'11_AttnMoE_Decode'!$J$3</x:f>
        <x:v>10.888036865046827</x:v>
      </x:c>
      <x:c r="D56" s="66" t="n">
        <x:f>C56-B56</x:f>
        <x:v>0.00003686504682676173</x:v>
      </x:c>
      <x:c r="E56" s="21" t="str">
        <x:f>IF(ABS(D56)&lt;=0.001,"MATCH","ASSUMPTION DIFFERENCE")</x:f>
        <x:v>MATCH</x:v>
      </x:c>
      <x:c r="F56" s="24" t="str">
        <x:v>The native Sheet is the user-reviewed operational contract. Exact numerical equality is not asserted: the generated engine uses an explicit sparse-CMS unique-active HBM upper bound, explicit MoE traffic, and its own stagewise roofline partition.</x:v>
      </x:c>
    </x:row>
    <x:row r="57">
      <x:c r="A57" s="21" t="str">
        <x:v>HOPE forward ITL</x:v>
      </x:c>
      <x:c r="B57" s="66" t="n">
        <x:v>0.604</x:v>
      </x:c>
      <x:c r="C57" s="66" t="n">
        <x:f>'21_HOPE_Decode'!$B$6</x:f>
        <x:v>0.6194056302702703</x:v>
      </x:c>
      <x:c r="D57" s="66" t="n">
        <x:f>C57-B57</x:f>
        <x:v>0.01540563027027031</x:v>
      </x:c>
      <x:c r="E57" s="21" t="str">
        <x:f>IF(ABS(D57)&lt;=0.001,"MATCH","ASSUMPTION DIFFERENCE")</x:f>
        <x:v>ASSUMPTION DIFFERENCE</x:v>
      </x:c>
      <x:c r="F57" s="24" t="str">
        <x:v>The native Sheet is the user-reviewed operational contract. Exact numerical equality is not asserted: the generated engine uses an explicit sparse-CMS unique-active HBM upper bound, explicit MoE traffic, and its own stagewise roofline partition.</x:v>
      </x:c>
    </x:row>
    <x:row r="58">
      <x:c r="A58" s="22" t="str">
        <x:v>HOPE including-online ITL</x:v>
      </x:c>
      <x:c r="B58" s="67" t="n">
        <x:v>18.89</x:v>
      </x:c>
      <x:c r="C58" s="67" t="n">
        <x:f>'21_HOPE_Decode'!$B$8</x:f>
        <x:v>30.813904784535897</x:v>
      </x:c>
      <x:c r="D58" s="67" t="n">
        <x:f>C58-B58</x:f>
        <x:v>11.923904784535896</x:v>
      </x:c>
      <x:c r="E58" s="22" t="str">
        <x:f>IF(ABS(D58)&lt;=0.001,"MATCH","ASSUMPTION DIFFERENCE")</x:f>
        <x:v>ASSUMPTION DIFFERENCE</x:v>
      </x:c>
      <x:c r="F58" s="25" t="str">
        <x:v>The native Sheet is the user-reviewed operational contract. Exact numerical equality is not asserted: the generated engine uses an explicit sparse-CMS unique-active HBM upper bound, explicit MoE traffic, and its own stagewise roofline partition.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62" hidden="0" customWidth="1"/>
    <x:col min="4" max="4" width="40" hidden="0" customWidth="1"/>
    <x:col min="5" max="5" width="44" hidden="0" customWidth="1"/>
  </x:cols>
  <x:sheetData>
    <x:row r="1" ht="28" customHeight="1">
      <x:c r="A1" s="3" t="str">
        <x:v>99 · Sources and provenance</x:v>
      </x:c>
      <x:c r="B1" s="3"/>
      <x:c r="C1" s="3"/>
      <x:c r="D1" s="3"/>
      <x:c r="E1" s="3"/>
    </x:row>
    <x:row r="2" ht="28" customHeight="1">
      <x:c r="A2" s="7" t="str">
        <x:v>Paths and public URLs needed to reproduce or audit the analytical companion.</x:v>
      </x:c>
      <x:c r="B2" s="7"/>
      <x:c r="C2" s="7"/>
      <x:c r="D2" s="7"/>
      <x:c r="E2" s="7"/>
    </x:row>
    <x:row r="5">
      <x:c r="A5" s="14" t="str">
        <x:v>Source</x:v>
      </x:c>
      <x:c r="B5" s="28" t="str">
        <x:v>Kind</x:v>
      </x:c>
      <x:c r="C5" s="28" t="str">
        <x:v>Location / URL</x:v>
      </x:c>
      <x:c r="D5" s="28" t="str">
        <x:v>Used for</x:v>
      </x:c>
      <x:c r="E5" s="15" t="str">
        <x:v>Notes</x:v>
      </x:c>
    </x:row>
    <x:row r="6">
      <x:c r="A6" s="20" t="str">
        <x:v>Verified engine output</x:v>
      </x:c>
      <x:c r="B6" s="20" t="str">
        <x:v>Repository file</x:v>
      </x:c>
      <x:c r="C6" s="23" t="str">
        <x:v>experiments/E5-attn-vs-hope/results.json</x:v>
      </x:c>
      <x:c r="D6" s="23" t="str">
        <x:v>Raw inputs, QA references, stage/group-order assertion</x:v>
      </x:c>
      <x:c r="E6" s="23" t="str">
        <x:v>Schema v3 dependency, TTFT/ITL, and crossover-axis contract</x:v>
      </x:c>
    </x:row>
    <x:row r="7">
      <x:c r="A7" s="21" t="str">
        <x:v>Analytical model</x:v>
      </x:c>
      <x:c r="B7" s="21" t="str">
        <x:v>Repository file</x:v>
      </x:c>
      <x:c r="C7" s="24" t="str">
        <x:v>experiments/E5-attn-vs-hope/model.py</x:v>
      </x:c>
      <x:c r="D7" s="24" t="str">
        <x:v>Equations and stage semantics</x:v>
      </x:c>
      <x:c r="E7" s="24" t="str">
        <x:v>Read-only upstream</x:v>
      </x:c>
    </x:row>
    <x:row r="8">
      <x:c r="A8" s="21" t="str">
        <x:v>Approved design</x:v>
      </x:c>
      <x:c r="B8" s="21" t="str">
        <x:v>Repository file</x:v>
      </x:c>
      <x:c r="C8" s="24" t="str">
        <x:v>docs/superpowers/specs/2026-07-27-attn-vs-hope-analytical-model-design.md</x:v>
      </x:c>
      <x:c r="D8" s="24" t="str">
        <x:v>Workbook sections and validation contract</x:v>
      </x:c>
      <x:c r="E8" s="24" t="str">
        <x:v>Sections 4–9</x:v>
      </x:c>
    </x:row>
    <x:row r="9">
      <x:c r="A9" s="21" t="str">
        <x:v>Hardware authority</x:v>
      </x:c>
      <x:c r="B9" s="21" t="str">
        <x:v>Mixed source</x:v>
      </x:c>
      <x:c r="C9" s="24" t="str">
        <x:v>multiarch/twins/h100.json</x:v>
      </x:c>
      <x:c r="D9" s="24" t="str">
        <x:v>Live-Sheet peak/BW; twin capacity/provenance only</x:v>
      </x:c>
      <x:c r="E9" s="24" t="str">
        <x:v>peak_flops_per_second and hbm_bandwidth_bytes_per_second are user-reviewed live-sheet analytical inputs; the repository twin supplies capacity/provenance only</x:v>
      </x:c>
    </x:row>
    <x:row r="10">
      <x:c r="A10" s="21" t="str">
        <x:v>Legacy HOPE proxy</x:v>
      </x:c>
      <x:c r="B10" s="21" t="str">
        <x:v>Repository file</x:v>
      </x:c>
      <x:c r="C10" s="24" t="str">
        <x:v>multiarch/hope_block_dag.py</x:v>
      </x:c>
      <x:c r="D10" s="24" t="str">
        <x:v>Legacy algebra QA anchor</x:v>
      </x:c>
      <x:c r="E10" s="24" t="str">
        <x:v>Not used as primary timing</x:v>
      </x:c>
    </x:row>
    <x:row r="11">
      <x:c r="A11" s="21" t="str">
        <x:v>Native live Sheet archive</x:v>
      </x:c>
      <x:c r="B11" s="21" t="str">
        <x:v>Repository file</x:v>
      </x:c>
      <x:c r="C11" s="24" t="str">
        <x:v>research/attn-vs-hope/Attn-vs-HOPE.xlsx</x:v>
      </x:c>
      <x:c r="D11" s="24" t="str">
        <x:v>User-reviewed one-tab artifact</x:v>
      </x:c>
      <x:c r="E11" s="24" t="str">
        <x:v>Kept separate and untouched</x:v>
      </x:c>
    </x:row>
    <x:row r="12">
      <x:c r="A12" s="21" t="str">
        <x:v>HOPE / Nested Learning</x:v>
      </x:c>
      <x:c r="B12" s="21" t="str">
        <x:v>Public paper</x:v>
      </x:c>
      <x:c r="C12" s="24" t="str">
        <x:v>https://arxiv.org/abs/2512.24695</x:v>
      </x:c>
      <x:c r="D12" s="24" t="str">
        <x:v>Architecture/equation evidence</x:v>
      </x:c>
      <x:c r="E12" s="24" t="str">
        <x:v>No official GPU kernel or wall-clock trace</x:v>
      </x:c>
    </x:row>
    <x:row r="13">
      <x:c r="A13" s="22" t="str">
        <x:v>Meeting research package</x:v>
      </x:c>
      <x:c r="B13" s="22" t="str">
        <x:v>Repository directory</x:v>
      </x:c>
      <x:c r="C13" s="25" t="str">
        <x:v>research/google-meeting/</x:v>
      </x:c>
      <x:c r="D13" s="25" t="str">
        <x:v>Evidence map and deployment questions</x:v>
      </x:c>
      <x:c r="E13" s="25" t="str">
        <x:v>Context only</x:v>
      </x:c>
    </x:row>
  </x:sheetData>
  <x:mergeCells>
    <x:mergeCell ref="A1:E1"/>
    <x:mergeCell ref="A2:E2"/>
  </x:mergeCells>
  <x:pageMargins left="0.7" right="0.7" top="0.75" bottom="0.75" header="0.3" footer="0.3"/>
</x:worksheet>
</file>